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heets/sheet1.xml" ContentType="application/vnd.openxmlformats-officedocument.spreadsheetml.chartsheet+xml"/>
  <Override PartName="/xl/drawings/drawing1.xml" ContentType="application/vnd.openxmlformats-officedocument.drawing+xml"/>
  <Override PartName="/xl/chartsheets/sheet2.xml" ContentType="application/vnd.openxmlformats-officedocument.spreadsheetml.chartsheet+xml"/>
  <Override PartName="/xl/drawings/drawing2.xml" ContentType="application/vnd.openxmlformats-officedocument.drawing+xml"/>
  <Override PartName="/xl/chartsheets/sheet3.xml" ContentType="application/vnd.openxmlformats-officedocument.spreadsheetml.chartsheet+xml"/>
  <Override PartName="/xl/drawings/drawing3.xml" ContentType="application/vnd.openxmlformats-officedocument.drawing+xml"/>
  <Override PartName="/xl/chartsheets/sheet4.xml" ContentType="application/vnd.openxmlformats-officedocument.spreadsheetml.chartsheet+xml"/>
  <Override PartName="/xl/drawings/drawing4.xml" ContentType="application/vnd.openxmlformats-officedocument.drawing+xml"/>
  <Override PartName="/xl/chartsheets/sheet5.xml" ContentType="application/vnd.openxmlformats-officedocument.spreadsheetml.chartsheet+xml"/>
  <Override PartName="/xl/drawings/drawing5.xml" ContentType="application/vnd.openxmlformats-officedocument.drawing+xml"/>
  <Override PartName="/xl/chartsheets/sheet6.xml" ContentType="application/vnd.openxmlformats-officedocument.spreadsheetml.chartsheet+xml"/>
  <Override PartName="/xl/drawings/drawing6.xml" ContentType="application/vnd.openxmlformats-officedocument.drawing+xml"/>
  <Override PartName="/xl/chartsheets/sheet7.xml" ContentType="application/vnd.openxmlformats-officedocument.spreadsheetml.chartsheet+xml"/>
  <Override PartName="/xl/drawings/drawing7.xml" ContentType="application/vnd.openxmlformats-officedocument.drawing+xml"/>
  <Override PartName="/xl/chartsheets/sheet8.xml" ContentType="application/vnd.openxmlformats-officedocument.spreadsheetml.chartsheet+xml"/>
  <Override PartName="/xl/drawings/drawing8.xml" ContentType="application/vnd.openxmlformats-officedocument.drawing+xml"/>
  <Override PartName="/xl/chartsheets/sheet9.xml" ContentType="application/vnd.openxmlformats-officedocument.spreadsheetml.chartsheet+xml"/>
  <Override PartName="/xl/drawings/drawing9.xml" ContentType="application/vnd.openxmlformats-officedocument.drawing+xml"/>
  <Override PartName="/xl/chartsheets/sheet10.xml" ContentType="application/vnd.openxmlformats-officedocument.spreadsheetml.chartsheet+xml"/>
  <Override PartName="/xl/drawings/drawing10.xml" ContentType="application/vnd.openxmlformats-officedocument.drawing+xml"/>
  <Override PartName="/xl/chartsheets/sheet11.xml" ContentType="application/vnd.openxmlformats-officedocument.spreadsheetml.chartsheet+xml"/>
  <Override PartName="/xl/drawings/drawing11.xml" ContentType="application/vnd.openxmlformats-officedocument.drawing+xml"/>
  <Override PartName="/xl/chartsheets/sheet12.xml" ContentType="application/vnd.openxmlformats-officedocument.spreadsheetml.chartsheet+xml"/>
  <Override PartName="/xl/drawings/drawing1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0" yWindow="45" windowWidth="19095" windowHeight="20910" tabRatio="799" firstSheet="0" activeTab="0" autoFilterDateGrouping="1"/>
  </bookViews>
  <sheets>
    <sheet xmlns:r="http://schemas.openxmlformats.org/officeDocument/2006/relationships" name="Sec7-2out" sheetId="1" state="visible" r:id="rId1"/>
    <sheet xmlns:r="http://schemas.openxmlformats.org/officeDocument/2006/relationships" name="Tables_B20" sheetId="2" state="visible" r:id="rId2"/>
    <sheet xmlns:r="http://schemas.openxmlformats.org/officeDocument/2006/relationships" name="Fig-B20-1_T1_Htg1" sheetId="3" state="visible" r:id="rId3"/>
    <sheet xmlns:r="http://schemas.openxmlformats.org/officeDocument/2006/relationships" name="Fig-B20-2_T1_Htg2" sheetId="4" state="visible" r:id="rId4"/>
    <sheet xmlns:r="http://schemas.openxmlformats.org/officeDocument/2006/relationships" name="Fig-B20-3_T1_dHtg1" sheetId="5" state="visible" r:id="rId5"/>
    <sheet xmlns:r="http://schemas.openxmlformats.org/officeDocument/2006/relationships" name="Fig-B20-4_T1_dHtg2" sheetId="6" state="visible" r:id="rId6"/>
    <sheet xmlns:r="http://schemas.openxmlformats.org/officeDocument/2006/relationships" name="Fig-B20-5_T1_Clg1" sheetId="7" state="visible" r:id="rId7"/>
    <sheet xmlns:r="http://schemas.openxmlformats.org/officeDocument/2006/relationships" name="Fig-B20-6_T1_Clg2" sheetId="8" state="visible" r:id="rId8"/>
    <sheet xmlns:r="http://schemas.openxmlformats.org/officeDocument/2006/relationships" name="Fig-B20-7_T1_dClg1" sheetId="9" state="visible" r:id="rId9"/>
    <sheet xmlns:r="http://schemas.openxmlformats.org/officeDocument/2006/relationships" name="Fig-B20-8_T1_dClg2" sheetId="10" state="visible" r:id="rId10"/>
    <sheet xmlns:r="http://schemas.openxmlformats.org/officeDocument/2006/relationships" name="Fig-B20-9_T2_Htg" sheetId="11" state="visible" r:id="rId11"/>
    <sheet xmlns:r="http://schemas.openxmlformats.org/officeDocument/2006/relationships" name="Fig-B20-10_T2_dHtg" sheetId="12" state="visible" r:id="rId12"/>
    <sheet xmlns:r="http://schemas.openxmlformats.org/officeDocument/2006/relationships" name="Fig-B20-11_T2_Clg" sheetId="13" state="visible" r:id="rId13"/>
    <sheet xmlns:r="http://schemas.openxmlformats.org/officeDocument/2006/relationships" name="Fig-B20-12_T2_dClg" sheetId="14" state="visible" r:id="rId14"/>
    <sheet xmlns:r="http://schemas.openxmlformats.org/officeDocument/2006/relationships" name="BLAST-HtgRes" sheetId="15" state="visible" r:id="rId15"/>
    <sheet xmlns:r="http://schemas.openxmlformats.org/officeDocument/2006/relationships" name="BLAST-ClgRes" sheetId="16" state="visible" r:id="rId16"/>
    <sheet xmlns:r="http://schemas.openxmlformats.org/officeDocument/2006/relationships" name="DOE-HtgRes" sheetId="17" state="visible" r:id="rId17"/>
    <sheet xmlns:r="http://schemas.openxmlformats.org/officeDocument/2006/relationships" name="DOE-ClgRes" sheetId="18" state="visible" r:id="rId18"/>
    <sheet xmlns:r="http://schemas.openxmlformats.org/officeDocument/2006/relationships" name="SRES-HtgRes" sheetId="19" state="visible" r:id="rId19"/>
    <sheet xmlns:r="http://schemas.openxmlformats.org/officeDocument/2006/relationships" name="SRES-ClgRes" sheetId="20" state="visible" r:id="rId20"/>
    <sheet xmlns:r="http://schemas.openxmlformats.org/officeDocument/2006/relationships" name="PlotData" sheetId="21" state="visible" r:id="rId21"/>
    <sheet xmlns:r="http://schemas.openxmlformats.org/officeDocument/2006/relationships" name="Season_Coeff" sheetId="22" state="visible" r:id="rId22"/>
  </sheets>
  <definedNames>
    <definedName name="Conf.Interval">'Sec7-2out'!$C$39</definedName>
    <definedName name="min_range">'Sec7-2out'!$C$40</definedName>
    <definedName name="software">'Sec7-2out'!$E$3</definedName>
    <definedName name="t_c">'Sec7-2out'!$B$43</definedName>
  </definedNames>
  <calcPr calcId="181029" fullCalcOnLoad="1"/>
</workbook>
</file>

<file path=xl/styles.xml><?xml version="1.0" encoding="utf-8"?>
<styleSheet xmlns="http://schemas.openxmlformats.org/spreadsheetml/2006/main">
  <numFmts count="0"/>
  <fonts count="30">
    <font>
      <name val="Arial"/>
      <sz val="10"/>
    </font>
    <font>
      <name val="Arial"/>
      <family val="2"/>
      <sz val="9"/>
    </font>
    <font>
      <name val="Arial"/>
      <family val="2"/>
      <sz val="10"/>
    </font>
    <font>
      <name val="Arial"/>
      <family val="2"/>
      <sz val="10"/>
    </font>
    <font>
      <name val="Arial"/>
      <family val="2"/>
      <sz val="10"/>
    </font>
    <font>
      <name val="Arial"/>
      <family val="2"/>
      <sz val="8.75"/>
    </font>
    <font>
      <name val="Arial"/>
      <family val="2"/>
      <sz val="10"/>
    </font>
    <font>
      <name val="Arial"/>
      <family val="2"/>
      <sz val="10"/>
    </font>
    <font>
      <name val="Arial"/>
      <family val="2"/>
      <sz val="10"/>
    </font>
    <font>
      <name val="Arial"/>
      <family val="2"/>
      <sz val="10"/>
    </font>
    <font>
      <name val="Arial"/>
      <family val="2"/>
      <sz val="10"/>
    </font>
    <font>
      <name val="Arial"/>
      <family val="2"/>
      <sz val="10"/>
    </font>
    <font>
      <name val="Arial"/>
      <family val="2"/>
      <sz val="10"/>
    </font>
    <font>
      <name val="Arial"/>
      <family val="2"/>
      <sz val="10"/>
    </font>
    <font>
      <name val="Arial"/>
      <family val="2"/>
      <sz val="10"/>
    </font>
    <font>
      <name val="Arial"/>
      <family val="2"/>
      <b val="1"/>
      <sz val="12"/>
    </font>
    <font>
      <name val="Arial"/>
      <family val="2"/>
      <b val="1"/>
      <sz val="10"/>
    </font>
    <font>
      <name val="Arial"/>
      <family val="2"/>
      <sz val="10"/>
    </font>
    <font>
      <name val="Arial"/>
      <family val="2"/>
      <sz val="10"/>
    </font>
    <font>
      <name val="Arial"/>
      <family val="2"/>
      <sz val="10"/>
    </font>
    <font>
      <name val="Arial"/>
      <family val="2"/>
      <sz val="10"/>
    </font>
    <font>
      <name val="Arial"/>
      <family val="2"/>
      <sz val="10"/>
    </font>
    <font>
      <name val="Arial"/>
      <family val="2"/>
      <sz val="10"/>
    </font>
    <font>
      <name val="Arial"/>
      <family val="2"/>
      <sz val="10"/>
    </font>
    <font>
      <name val="Arial"/>
      <family val="2"/>
      <sz val="10"/>
    </font>
    <font>
      <name val="Arial"/>
      <family val="2"/>
      <sz val="10"/>
    </font>
    <font>
      <name val="Arial"/>
      <family val="2"/>
      <sz val="10"/>
    </font>
    <font>
      <name val="Arial"/>
      <family val="2"/>
      <color indexed="12"/>
      <sz val="10"/>
    </font>
    <font>
      <name val="Arial"/>
      <family val="2"/>
      <sz val="8.75"/>
    </font>
    <font>
      <name val="Arial"/>
      <family val="2"/>
      <sz val="10"/>
    </font>
  </fonts>
  <fills count="3">
    <fill>
      <patternFill/>
    </fill>
    <fill>
      <patternFill patternType="gray125"/>
    </fill>
    <fill>
      <patternFill patternType="solid">
        <fgColor indexed="43"/>
        <bgColor indexed="64"/>
      </patternFill>
    </fill>
  </fills>
  <borders count="53">
    <border>
      <left/>
      <right/>
      <top/>
      <bottom/>
      <diagonal/>
    </border>
    <border>
      <left style="double">
        <color indexed="64"/>
      </left>
      <right/>
      <top/>
      <bottom/>
      <diagonal/>
    </border>
    <border>
      <left style="double">
        <color indexed="64"/>
      </left>
      <right/>
      <top/>
      <bottom style="medium">
        <color indexed="64"/>
      </bottom>
      <diagonal/>
    </border>
    <border>
      <left/>
      <right/>
      <top/>
      <bottom style="medium">
        <color indexed="64"/>
      </bottom>
      <diagonal/>
    </border>
    <border>
      <left/>
      <right style="double">
        <color indexed="64"/>
      </right>
      <top/>
      <bottom style="medium">
        <color indexed="64"/>
      </bottom>
      <diagonal/>
    </border>
    <border>
      <left/>
      <right style="double">
        <color indexed="64"/>
      </right>
      <top/>
      <bottom/>
      <diagonal/>
    </border>
    <border>
      <left style="double">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style="double">
        <color indexed="64"/>
      </bottom>
      <diagonal/>
    </border>
    <border>
      <left/>
      <right/>
      <top style="medium">
        <color indexed="64"/>
      </top>
      <bottom style="double">
        <color indexed="64"/>
      </bottom>
      <diagonal/>
    </border>
    <border>
      <left/>
      <right style="double">
        <color indexed="64"/>
      </right>
      <top style="medium">
        <color indexed="64"/>
      </top>
      <bottom style="double">
        <color indexed="64"/>
      </bottom>
      <diagonal/>
    </border>
    <border>
      <left style="medium">
        <color indexed="64"/>
      </left>
      <right/>
      <top/>
      <bottom/>
      <diagonal/>
    </border>
    <border>
      <left style="double">
        <color indexed="64"/>
      </left>
      <right/>
      <top style="double">
        <color indexed="64"/>
      </top>
      <bottom/>
      <diagonal/>
    </border>
    <border>
      <left/>
      <right/>
      <top style="double">
        <color indexed="64"/>
      </top>
      <bottom/>
      <diagonal/>
    </border>
    <border>
      <left/>
      <right style="double">
        <color indexed="8"/>
      </right>
      <top style="double">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style="thin">
        <color indexed="64"/>
      </left>
      <right style="dotted">
        <color indexed="64"/>
      </right>
      <top/>
      <bottom/>
      <diagonal/>
    </border>
    <border>
      <left style="dotted">
        <color indexed="64"/>
      </left>
      <right style="dotted">
        <color indexed="64"/>
      </right>
      <top/>
      <bottom/>
      <diagonal/>
    </border>
    <border>
      <left style="dotted">
        <color indexed="64"/>
      </left>
      <right style="thin">
        <color indexed="64"/>
      </right>
      <top/>
      <bottom/>
      <diagonal/>
    </border>
    <border>
      <left style="thin">
        <color indexed="64"/>
      </left>
      <right style="dotted">
        <color indexed="64"/>
      </right>
      <top/>
      <bottom style="thin">
        <color indexed="64"/>
      </bottom>
      <diagonal/>
    </border>
    <border>
      <left style="dotted">
        <color indexed="64"/>
      </left>
      <right style="dotted">
        <color indexed="64"/>
      </right>
      <top/>
      <bottom style="thin">
        <color indexed="64"/>
      </bottom>
      <diagonal/>
    </border>
    <border>
      <left style="dotted">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double">
        <color indexed="64"/>
      </top>
      <bottom/>
      <diagonal/>
    </border>
    <border>
      <left style="medium">
        <color indexed="64"/>
      </left>
      <right/>
      <top/>
      <bottom style="medium">
        <color indexed="64"/>
      </bottom>
      <diagonal/>
    </border>
    <border>
      <left style="medium">
        <color indexed="64"/>
      </left>
      <right/>
      <top style="medium">
        <color indexed="64"/>
      </top>
      <bottom style="double">
        <color indexed="64"/>
      </bottom>
      <diagonal/>
    </border>
    <border>
      <left style="medium">
        <color indexed="64"/>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dotted">
        <color indexed="64"/>
      </right>
      <top style="thin">
        <color indexed="64"/>
      </top>
      <bottom/>
      <diagonal/>
    </border>
    <border>
      <left style="dotted">
        <color indexed="64"/>
      </left>
      <right style="dotted">
        <color indexed="64"/>
      </right>
      <top style="thin">
        <color indexed="64"/>
      </top>
      <bottom/>
      <diagonal/>
    </border>
    <border>
      <left style="dotted">
        <color indexed="64"/>
      </left>
      <right style="thin">
        <color indexed="64"/>
      </right>
      <top style="thin">
        <color indexed="64"/>
      </top>
      <bottom/>
      <diagonal/>
    </border>
    <border>
      <left style="dotted">
        <color indexed="64"/>
      </left>
      <right/>
      <top style="thin">
        <color indexed="64"/>
      </top>
      <bottom style="thin">
        <color indexed="64"/>
      </bottom>
      <diagonal/>
    </border>
    <border>
      <left style="dotted">
        <color indexed="64"/>
      </left>
      <right/>
      <top/>
      <bottom/>
      <diagonal/>
    </border>
    <border>
      <left style="dotted">
        <color indexed="64"/>
      </left>
      <right/>
      <top/>
      <bottom style="thin">
        <color indexed="64"/>
      </bottom>
      <diagonal/>
    </border>
    <border>
      <left style="dotted">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bottom/>
      <diagonal/>
    </border>
    <border>
      <left/>
      <right style="dotted">
        <color indexed="64"/>
      </right>
      <top/>
      <bottom/>
      <diagonal/>
    </border>
    <border>
      <left/>
      <right style="dotted">
        <color indexed="64"/>
      </right>
      <top/>
      <bottom style="thin">
        <color indexed="64"/>
      </bottom>
      <diagonal/>
    </border>
    <border>
      <left/>
      <right style="thin">
        <color indexed="64"/>
      </right>
      <top style="thin">
        <color indexed="64"/>
      </top>
      <bottom style="thin">
        <color indexed="64"/>
      </bottom>
      <diagonal/>
    </border>
    <border>
      <left style="double">
        <color indexed="64"/>
      </left>
      <right style="double">
        <color indexed="8"/>
      </right>
      <top style="double">
        <color indexed="64"/>
      </top>
      <bottom/>
      <diagonal/>
    </border>
  </borders>
  <cellStyleXfs count="1">
    <xf numFmtId="0" fontId="0" fillId="0" borderId="0"/>
  </cellStyleXfs>
  <cellXfs count="185">
    <xf numFmtId="0" fontId="0" fillId="0" borderId="0" pivotButton="0" quotePrefix="0" xfId="0"/>
    <xf numFmtId="0" fontId="1" fillId="0" borderId="1" pivotButton="0" quotePrefix="0" xfId="0"/>
    <xf numFmtId="0" fontId="1" fillId="0" borderId="2" pivotButton="0" quotePrefix="0" xfId="0"/>
    <xf numFmtId="0" fontId="1" fillId="0" borderId="3" applyAlignment="1" pivotButton="0" quotePrefix="0" xfId="0">
      <alignment horizontal="right"/>
    </xf>
    <xf numFmtId="0" fontId="1" fillId="0" borderId="4" applyAlignment="1" pivotButton="0" quotePrefix="0" xfId="0">
      <alignment horizontal="right"/>
    </xf>
    <xf numFmtId="0" fontId="0" fillId="0" borderId="0" applyAlignment="1" pivotButton="0" quotePrefix="0" xfId="0">
      <alignment horizontal="right"/>
    </xf>
    <xf numFmtId="0" fontId="1" fillId="0" borderId="0" applyAlignment="1" pivotButton="0" quotePrefix="0" xfId="0">
      <alignment horizontal="right"/>
    </xf>
    <xf numFmtId="0" fontId="1" fillId="0" borderId="5" applyAlignment="1" pivotButton="0" quotePrefix="0" xfId="0">
      <alignment horizontal="right"/>
    </xf>
    <xf numFmtId="0" fontId="1" fillId="0" borderId="6" pivotButton="0" quotePrefix="0" xfId="0"/>
    <xf numFmtId="0" fontId="1" fillId="0" borderId="7" applyAlignment="1" pivotButton="0" quotePrefix="0" xfId="0">
      <alignment horizontal="right"/>
    </xf>
    <xf numFmtId="0" fontId="1" fillId="0" borderId="8" applyAlignment="1" pivotButton="0" quotePrefix="0" xfId="0">
      <alignment horizontal="right"/>
    </xf>
    <xf numFmtId="0" fontId="1" fillId="0" borderId="9" pivotButton="0" quotePrefix="0" xfId="0"/>
    <xf numFmtId="0" fontId="1" fillId="0" borderId="10" applyAlignment="1" pivotButton="0" quotePrefix="0" xfId="0">
      <alignment horizontal="right"/>
    </xf>
    <xf numFmtId="0" fontId="1" fillId="0" borderId="11" applyAlignment="1" pivotButton="0" quotePrefix="0" xfId="0">
      <alignment horizontal="right"/>
    </xf>
    <xf numFmtId="2" fontId="0" fillId="0" borderId="0" pivotButton="0" quotePrefix="0" xfId="0"/>
    <xf numFmtId="0" fontId="0" fillId="0" borderId="0" applyAlignment="1" pivotButton="0" quotePrefix="0" xfId="0">
      <alignment wrapText="1"/>
    </xf>
    <xf numFmtId="0" fontId="0" fillId="0" borderId="0" applyAlignment="1" pivotButton="0" quotePrefix="0" xfId="0">
      <alignment horizontal="right" wrapText="1"/>
    </xf>
    <xf numFmtId="0" fontId="0" fillId="0" borderId="0" applyAlignment="1" pivotButton="0" quotePrefix="0" xfId="0">
      <alignment wrapText="1"/>
    </xf>
    <xf numFmtId="0" fontId="0" fillId="0" borderId="12" pivotButton="0" quotePrefix="0" xfId="0"/>
    <xf numFmtId="0" fontId="0" fillId="0" borderId="12" applyAlignment="1" pivotButton="0" quotePrefix="0" xfId="0">
      <alignment horizontal="right"/>
    </xf>
    <xf numFmtId="2" fontId="0" fillId="0" borderId="12" pivotButton="0" quotePrefix="0" xfId="0"/>
    <xf numFmtId="0" fontId="1" fillId="0" borderId="13" pivotButton="0" quotePrefix="0" xfId="0"/>
    <xf numFmtId="0" fontId="1" fillId="0" borderId="14" pivotButton="0" quotePrefix="0" xfId="0"/>
    <xf numFmtId="0" fontId="1" fillId="0" borderId="15" pivotButton="0" quotePrefix="0" xfId="0"/>
    <xf numFmtId="0" fontId="1" fillId="0" borderId="0" applyAlignment="1" pivotButton="0" quotePrefix="0" xfId="0">
      <alignment horizontal="right"/>
    </xf>
    <xf numFmtId="0" fontId="0" fillId="0" borderId="0" applyAlignment="1" pivotButton="0" quotePrefix="0" xfId="0">
      <alignment horizontal="right"/>
    </xf>
    <xf numFmtId="2" fontId="0" fillId="0" borderId="0" pivotButton="0" quotePrefix="0" xfId="0"/>
    <xf numFmtId="0" fontId="0" fillId="0" borderId="0" applyAlignment="1" pivotButton="0" quotePrefix="0" xfId="0">
      <alignment horizontal="center"/>
    </xf>
    <xf numFmtId="1" fontId="0" fillId="0" borderId="0" pivotButton="0" quotePrefix="0" xfId="0"/>
    <xf numFmtId="16" fontId="0" fillId="0" borderId="0" pivotButton="0" quotePrefix="0" xfId="0"/>
    <xf numFmtId="2" fontId="0" fillId="0" borderId="0" applyAlignment="1" pivotButton="0" quotePrefix="0" xfId="0">
      <alignment horizontal="center"/>
    </xf>
    <xf numFmtId="0" fontId="1" fillId="0" borderId="0" applyAlignment="1" pivotButton="0" quotePrefix="0" xfId="0">
      <alignment horizontal="center"/>
    </xf>
    <xf numFmtId="0" fontId="1" fillId="0" borderId="14" pivotButton="0" quotePrefix="0" xfId="0"/>
    <xf numFmtId="2" fontId="0" fillId="0" borderId="16" pivotButton="0" quotePrefix="0" xfId="0"/>
    <xf numFmtId="0" fontId="0" fillId="2" borderId="17" applyAlignment="1" applyProtection="1" pivotButton="0" quotePrefix="0" xfId="0">
      <alignment horizontal="center"/>
      <protection locked="0" hidden="0"/>
    </xf>
    <xf numFmtId="2" fontId="0" fillId="0" borderId="0" applyProtection="1" pivotButton="0" quotePrefix="0" xfId="0">
      <protection locked="0" hidden="0"/>
    </xf>
    <xf numFmtId="0" fontId="0" fillId="0" borderId="0" applyAlignment="1" pivotButton="0" quotePrefix="0" xfId="0">
      <alignment horizontal="right"/>
    </xf>
    <xf numFmtId="0" fontId="0" fillId="0" borderId="17" applyAlignment="1" pivotButton="0" quotePrefix="0" xfId="0">
      <alignment horizontal="center"/>
    </xf>
    <xf numFmtId="0" fontId="15" fillId="0" borderId="0" pivotButton="0" quotePrefix="0" xfId="0"/>
    <xf numFmtId="0" fontId="16" fillId="0" borderId="0" pivotButton="0" quotePrefix="0" xfId="0"/>
    <xf numFmtId="0" fontId="0" fillId="0" borderId="18" applyAlignment="1" pivotButton="0" quotePrefix="0" xfId="0">
      <alignment vertical="center" wrapText="1"/>
    </xf>
    <xf numFmtId="0" fontId="0" fillId="0" borderId="19" applyAlignment="1" pivotButton="0" quotePrefix="0" xfId="0">
      <alignment horizontal="center"/>
    </xf>
    <xf numFmtId="0" fontId="0" fillId="0" borderId="20" applyAlignment="1" pivotButton="0" quotePrefix="0" xfId="0">
      <alignment horizontal="right" vertical="center" wrapText="1"/>
    </xf>
    <xf numFmtId="0" fontId="0" fillId="0" borderId="21" applyAlignment="1" pivotButton="0" quotePrefix="0" xfId="0">
      <alignment horizontal="right" vertical="center" wrapText="1"/>
    </xf>
    <xf numFmtId="0" fontId="0" fillId="0" borderId="22" applyAlignment="1" pivotButton="0" quotePrefix="0" xfId="0">
      <alignment horizontal="right" vertical="center" wrapText="1"/>
    </xf>
    <xf numFmtId="2" fontId="0" fillId="0" borderId="23" pivotButton="0" quotePrefix="0" xfId="0"/>
    <xf numFmtId="2" fontId="0" fillId="0" borderId="24" pivotButton="0" quotePrefix="0" xfId="0"/>
    <xf numFmtId="2" fontId="0" fillId="0" borderId="25" pivotButton="0" quotePrefix="0" xfId="0"/>
    <xf numFmtId="2" fontId="0" fillId="0" borderId="26" pivotButton="0" quotePrefix="0" xfId="0"/>
    <xf numFmtId="2" fontId="0" fillId="0" borderId="27" pivotButton="0" quotePrefix="0" xfId="0"/>
    <xf numFmtId="2" fontId="0" fillId="0" borderId="28" pivotButton="0" quotePrefix="0" xfId="0"/>
    <xf numFmtId="9" fontId="0" fillId="0" borderId="0" applyAlignment="1" pivotButton="0" quotePrefix="0" xfId="0">
      <alignment horizontal="center"/>
    </xf>
    <xf numFmtId="0" fontId="0" fillId="0" borderId="0" applyAlignment="1" pivotButton="0" quotePrefix="0" xfId="0">
      <alignment horizontal="center"/>
    </xf>
    <xf numFmtId="9" fontId="0" fillId="0" borderId="0" applyAlignment="1" pivotButton="0" quotePrefix="0" xfId="0">
      <alignment horizontal="center"/>
    </xf>
    <xf numFmtId="0" fontId="17" fillId="0" borderId="0" applyAlignment="1" pivotButton="0" quotePrefix="0" xfId="0">
      <alignment horizontal="center" vertical="top" wrapText="1"/>
    </xf>
    <xf numFmtId="0" fontId="16" fillId="0" borderId="0" applyAlignment="1" pivotButton="0" quotePrefix="0" xfId="0">
      <alignment horizontal="center" vertical="top" wrapText="1"/>
    </xf>
    <xf numFmtId="0" fontId="0" fillId="0" borderId="0" pivotButton="0" quotePrefix="0" xfId="0"/>
    <xf numFmtId="0" fontId="0" fillId="0" borderId="0" applyAlignment="1" applyProtection="1" pivotButton="0" quotePrefix="0" xfId="0">
      <alignment horizontal="center"/>
      <protection locked="0" hidden="0"/>
    </xf>
    <xf numFmtId="0" fontId="0" fillId="0" borderId="0" applyAlignment="1" pivotButton="0" quotePrefix="0" xfId="0">
      <alignment horizontal="left"/>
    </xf>
    <xf numFmtId="0" fontId="0" fillId="0" borderId="29" applyAlignment="1" pivotButton="0" quotePrefix="0" xfId="0">
      <alignment horizontal="center"/>
    </xf>
    <xf numFmtId="0" fontId="1" fillId="0" borderId="30" pivotButton="0" quotePrefix="0" xfId="0"/>
    <xf numFmtId="0" fontId="1" fillId="0" borderId="31" applyAlignment="1" pivotButton="0" quotePrefix="0" xfId="0">
      <alignment horizontal="right"/>
    </xf>
    <xf numFmtId="0" fontId="1" fillId="0" borderId="12" applyAlignment="1" pivotButton="0" quotePrefix="0" xfId="0">
      <alignment horizontal="right"/>
    </xf>
    <xf numFmtId="0" fontId="1" fillId="0" borderId="32" applyAlignment="1" pivotButton="0" quotePrefix="0" xfId="0">
      <alignment horizontal="right"/>
    </xf>
    <xf numFmtId="2" fontId="0" fillId="0" borderId="33" pivotButton="0" quotePrefix="0" xfId="0"/>
    <xf numFmtId="2" fontId="0" fillId="0" borderId="19" pivotButton="0" quotePrefix="0" xfId="0"/>
    <xf numFmtId="0" fontId="0" fillId="0" borderId="17" applyAlignment="1" pivotButton="0" quotePrefix="0" xfId="0">
      <alignment vertical="center" wrapText="1"/>
    </xf>
    <xf numFmtId="0" fontId="0" fillId="0" borderId="34" applyAlignment="1" pivotButton="0" quotePrefix="0" xfId="0">
      <alignment horizontal="center"/>
    </xf>
    <xf numFmtId="0" fontId="0" fillId="0" borderId="35" applyAlignment="1" pivotButton="0" quotePrefix="0" xfId="0">
      <alignment horizontal="center"/>
    </xf>
    <xf numFmtId="9" fontId="0" fillId="2" borderId="17" applyAlignment="1" pivotButton="0" quotePrefix="0" xfId="0">
      <alignment horizontal="center"/>
    </xf>
    <xf numFmtId="0" fontId="0" fillId="2" borderId="17" applyAlignment="1" pivotButton="0" quotePrefix="0" xfId="0">
      <alignment horizontal="center"/>
    </xf>
    <xf numFmtId="0" fontId="17" fillId="0" borderId="2" pivotButton="0" quotePrefix="0" xfId="0"/>
    <xf numFmtId="0" fontId="17" fillId="0" borderId="3" applyAlignment="1" pivotButton="0" quotePrefix="0" xfId="0">
      <alignment horizontal="right"/>
    </xf>
    <xf numFmtId="0" fontId="17" fillId="0" borderId="4" applyAlignment="1" pivotButton="0" quotePrefix="0" xfId="0">
      <alignment horizontal="right"/>
    </xf>
    <xf numFmtId="0" fontId="17" fillId="0" borderId="1" pivotButton="0" quotePrefix="0" xfId="0"/>
    <xf numFmtId="0" fontId="17" fillId="0" borderId="0" applyAlignment="1" pivotButton="0" quotePrefix="0" xfId="0">
      <alignment horizontal="right"/>
    </xf>
    <xf numFmtId="0" fontId="17" fillId="0" borderId="5" applyAlignment="1" pivotButton="0" quotePrefix="0" xfId="0">
      <alignment horizontal="right"/>
    </xf>
    <xf numFmtId="0" fontId="17" fillId="0" borderId="9" pivotButton="0" quotePrefix="0" xfId="0"/>
    <xf numFmtId="0" fontId="17" fillId="0" borderId="10" applyAlignment="1" pivotButton="0" quotePrefix="0" xfId="0">
      <alignment horizontal="right"/>
    </xf>
    <xf numFmtId="0" fontId="17" fillId="0" borderId="11" applyAlignment="1" pivotButton="0" quotePrefix="0" xfId="0">
      <alignment horizontal="right"/>
    </xf>
    <xf numFmtId="0" fontId="1" fillId="0" borderId="0" pivotButton="0" quotePrefix="0" xfId="0"/>
    <xf numFmtId="0" fontId="0" fillId="0" borderId="0" applyAlignment="1" pivotButton="0" quotePrefix="0" xfId="0">
      <alignment horizontal="left"/>
    </xf>
    <xf numFmtId="0" fontId="17" fillId="0" borderId="0" applyAlignment="1" pivotButton="0" quotePrefix="0" xfId="0">
      <alignment horizontal="center" vertical="top" wrapText="1"/>
    </xf>
    <xf numFmtId="0" fontId="0" fillId="0" borderId="36" applyAlignment="1" pivotButton="0" quotePrefix="0" xfId="0">
      <alignment horizontal="center"/>
    </xf>
    <xf numFmtId="2" fontId="0" fillId="0" borderId="37" pivotButton="0" quotePrefix="0" xfId="0"/>
    <xf numFmtId="2" fontId="0" fillId="0" borderId="38" pivotButton="0" quotePrefix="0" xfId="0"/>
    <xf numFmtId="2" fontId="0" fillId="0" borderId="39" pivotButton="0" quotePrefix="0" xfId="0"/>
    <xf numFmtId="2" fontId="0" fillId="0" borderId="0" applyProtection="1" pivotButton="0" quotePrefix="0" xfId="0">
      <protection locked="0" hidden="0"/>
    </xf>
    <xf numFmtId="2" fontId="0" fillId="2" borderId="17" applyAlignment="1" applyProtection="1" pivotButton="0" quotePrefix="0" xfId="0">
      <alignment horizontal="center"/>
      <protection locked="0" hidden="0"/>
    </xf>
    <xf numFmtId="0" fontId="0" fillId="0" borderId="0" pivotButton="0" quotePrefix="0" xfId="0"/>
    <xf numFmtId="0" fontId="16" fillId="0" borderId="0" applyAlignment="1" pivotButton="0" quotePrefix="0" xfId="0">
      <alignment horizontal="right"/>
    </xf>
    <xf numFmtId="0" fontId="0" fillId="0" borderId="40" applyAlignment="1" pivotButton="0" quotePrefix="0" xfId="0">
      <alignment horizontal="right" vertical="center" wrapText="1"/>
    </xf>
    <xf numFmtId="2" fontId="0" fillId="0" borderId="41" pivotButton="0" quotePrefix="0" xfId="0"/>
    <xf numFmtId="2" fontId="0" fillId="0" borderId="42" pivotButton="0" quotePrefix="0" xfId="0"/>
    <xf numFmtId="2" fontId="0" fillId="0" borderId="43" pivotButton="0" quotePrefix="0" xfId="0"/>
    <xf numFmtId="0" fontId="0" fillId="0" borderId="44" pivotButton="0" quotePrefix="0" xfId="0"/>
    <xf numFmtId="0" fontId="0" fillId="0" borderId="22" applyAlignment="1" pivotButton="0" quotePrefix="0" xfId="0">
      <alignment horizontal="right" wrapText="1"/>
    </xf>
    <xf numFmtId="9" fontId="0" fillId="0" borderId="25" pivotButton="0" quotePrefix="0" xfId="0"/>
    <xf numFmtId="9" fontId="0" fillId="0" borderId="28" pivotButton="0" quotePrefix="0" xfId="0"/>
    <xf numFmtId="0" fontId="0" fillId="0" borderId="44" pivotButton="0" quotePrefix="0" xfId="0"/>
    <xf numFmtId="0" fontId="0" fillId="0" borderId="16" applyAlignment="1" pivotButton="0" quotePrefix="0" xfId="0">
      <alignment horizontal="left"/>
    </xf>
    <xf numFmtId="0" fontId="0" fillId="0" borderId="19" pivotButton="0" quotePrefix="0" xfId="0"/>
    <xf numFmtId="0" fontId="0" fillId="0" borderId="45" applyAlignment="1" pivotButton="0" quotePrefix="0" xfId="0">
      <alignment horizontal="center"/>
    </xf>
    <xf numFmtId="0" fontId="0" fillId="0" borderId="46" pivotButton="0" quotePrefix="0" xfId="0"/>
    <xf numFmtId="0" fontId="0" fillId="0" borderId="16" pivotButton="0" quotePrefix="0" xfId="0"/>
    <xf numFmtId="0" fontId="0" fillId="0" borderId="36" pivotButton="0" quotePrefix="0" xfId="0"/>
    <xf numFmtId="16" fontId="0" fillId="0" borderId="19" applyAlignment="1" pivotButton="0" quotePrefix="0" xfId="0">
      <alignment horizontal="center"/>
    </xf>
    <xf numFmtId="16" fontId="0" fillId="0" borderId="0" applyAlignment="1" pivotButton="0" quotePrefix="0" xfId="0">
      <alignment horizontal="center"/>
    </xf>
    <xf numFmtId="1" fontId="0" fillId="0" borderId="16" pivotButton="0" quotePrefix="0" xfId="0"/>
    <xf numFmtId="0" fontId="0" fillId="0" borderId="20" applyAlignment="1" pivotButton="0" quotePrefix="0" xfId="0">
      <alignment horizontal="right"/>
    </xf>
    <xf numFmtId="0" fontId="0" fillId="0" borderId="22" applyAlignment="1" pivotButton="0" quotePrefix="0" xfId="0">
      <alignment horizontal="right"/>
    </xf>
    <xf numFmtId="0" fontId="0" fillId="0" borderId="23" pivotButton="0" quotePrefix="0" xfId="0"/>
    <xf numFmtId="0" fontId="0" fillId="0" borderId="24" pivotButton="0" quotePrefix="0" xfId="0"/>
    <xf numFmtId="1"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1" fontId="0" fillId="0" borderId="27" pivotButton="0" quotePrefix="0" xfId="0"/>
    <xf numFmtId="0" fontId="0" fillId="0" borderId="28" pivotButton="0" quotePrefix="0" xfId="0"/>
    <xf numFmtId="0" fontId="0" fillId="0" borderId="47" applyAlignment="1" pivotButton="0" quotePrefix="0" xfId="0">
      <alignment horizontal="right"/>
    </xf>
    <xf numFmtId="0" fontId="0" fillId="0" borderId="47" applyAlignment="1" pivotButton="0" quotePrefix="0" xfId="0">
      <alignment horizontal="center"/>
    </xf>
    <xf numFmtId="0" fontId="0" fillId="0" borderId="21" applyAlignment="1" pivotButton="0" quotePrefix="0" xfId="0">
      <alignment horizontal="right"/>
    </xf>
    <xf numFmtId="0" fontId="0" fillId="0" borderId="17" pivotButton="0" quotePrefix="0" xfId="0"/>
    <xf numFmtId="0" fontId="0" fillId="0" borderId="18" applyAlignment="1" pivotButton="0" quotePrefix="0" xfId="0">
      <alignment horizontal="center"/>
    </xf>
    <xf numFmtId="0" fontId="0" fillId="0" borderId="37" pivotButton="0" quotePrefix="0" xfId="0"/>
    <xf numFmtId="0" fontId="0" fillId="0" borderId="39" applyAlignment="1" pivotButton="0" quotePrefix="0" xfId="0">
      <alignment horizontal="center"/>
    </xf>
    <xf numFmtId="0" fontId="0" fillId="0" borderId="25" applyAlignment="1" pivotButton="0" quotePrefix="0" xfId="0">
      <alignment horizontal="center"/>
    </xf>
    <xf numFmtId="2" fontId="0" fillId="0" borderId="34" applyAlignment="1" pivotButton="0" quotePrefix="0" xfId="0">
      <alignment horizontal="center"/>
    </xf>
    <xf numFmtId="2" fontId="0" fillId="0" borderId="35" applyAlignment="1" pivotButton="0" quotePrefix="0" xfId="0">
      <alignment horizontal="center"/>
    </xf>
    <xf numFmtId="0" fontId="0" fillId="0" borderId="20" applyAlignment="1" pivotButton="0" quotePrefix="0" xfId="0">
      <alignment horizontal="center"/>
    </xf>
    <xf numFmtId="0" fontId="0" fillId="0" borderId="22" applyAlignment="1" pivotButton="0" quotePrefix="0" xfId="0">
      <alignment horizontal="center"/>
    </xf>
    <xf numFmtId="0" fontId="27" fillId="0" borderId="20" applyAlignment="1" pivotButton="0" quotePrefix="0" xfId="0">
      <alignment horizontal="center"/>
    </xf>
    <xf numFmtId="0" fontId="27" fillId="0" borderId="22" applyAlignment="1" pivotButton="0" quotePrefix="0" xfId="0">
      <alignment horizontal="center"/>
    </xf>
    <xf numFmtId="2" fontId="0" fillId="0" borderId="23" applyAlignment="1" pivotButton="0" quotePrefix="0" xfId="0">
      <alignment horizontal="center"/>
    </xf>
    <xf numFmtId="2" fontId="0" fillId="0" borderId="25" applyAlignment="1" pivotButton="0" quotePrefix="0" xfId="0">
      <alignment horizontal="center"/>
    </xf>
    <xf numFmtId="2" fontId="27" fillId="0" borderId="23" applyAlignment="1" pivotButton="0" quotePrefix="0" xfId="0">
      <alignment horizontal="center"/>
    </xf>
    <xf numFmtId="2" fontId="27" fillId="0" borderId="25" applyAlignment="1" pivotButton="0" quotePrefix="0" xfId="0">
      <alignment horizontal="center"/>
    </xf>
    <xf numFmtId="2" fontId="0" fillId="0" borderId="26" applyAlignment="1" pivotButton="0" quotePrefix="0" xfId="0">
      <alignment horizontal="center"/>
    </xf>
    <xf numFmtId="2" fontId="0" fillId="0" borderId="28" applyAlignment="1" pivotButton="0" quotePrefix="0" xfId="0">
      <alignment horizontal="center"/>
    </xf>
    <xf numFmtId="2" fontId="27" fillId="0" borderId="26" applyAlignment="1" pivotButton="0" quotePrefix="0" xfId="0">
      <alignment horizontal="center"/>
    </xf>
    <xf numFmtId="2" fontId="27" fillId="0" borderId="28" applyAlignment="1" pivotButton="0" quotePrefix="0" xfId="0">
      <alignment horizontal="center"/>
    </xf>
    <xf numFmtId="0" fontId="16" fillId="0" borderId="0" applyAlignment="1" applyProtection="1" pivotButton="0" quotePrefix="0" xfId="0">
      <alignment horizontal="center"/>
      <protection locked="0" hidden="0"/>
    </xf>
    <xf numFmtId="0" fontId="0" fillId="0" borderId="45" applyAlignment="1" applyProtection="1" pivotButton="0" quotePrefix="0" xfId="0">
      <alignment horizontal="center"/>
      <protection locked="0" hidden="0"/>
    </xf>
    <xf numFmtId="0" fontId="0" fillId="0" borderId="45" applyAlignment="1" pivotButton="0" quotePrefix="0" xfId="0">
      <alignment horizontal="center"/>
    </xf>
    <xf numFmtId="0" fontId="0" fillId="0" borderId="16" applyAlignment="1" applyProtection="1" pivotButton="0" quotePrefix="0" xfId="0">
      <alignment horizontal="center"/>
      <protection locked="0" hidden="0"/>
    </xf>
    <xf numFmtId="0" fontId="17" fillId="0" borderId="0" pivotButton="0" quotePrefix="0" xfId="0"/>
    <xf numFmtId="0" fontId="0" fillId="0" borderId="0" applyAlignment="1" pivotButton="0" quotePrefix="0" xfId="0">
      <alignment wrapText="1"/>
    </xf>
    <xf numFmtId="2" fontId="0" fillId="0" borderId="29" pivotButton="0" quotePrefix="0" xfId="0"/>
    <xf numFmtId="2" fontId="0" fillId="0" borderId="48" pivotButton="0" quotePrefix="0" xfId="0"/>
    <xf numFmtId="2" fontId="0" fillId="0" borderId="49" pivotButton="0" quotePrefix="0" xfId="0"/>
    <xf numFmtId="2" fontId="0" fillId="0" borderId="50" pivotButton="0" quotePrefix="0" xfId="0"/>
    <xf numFmtId="0" fontId="0" fillId="2" borderId="18" applyAlignment="1" applyProtection="1" pivotButton="0" quotePrefix="0" xfId="0">
      <alignment horizontal="center" vertical="center"/>
      <protection locked="0" hidden="0"/>
    </xf>
    <xf numFmtId="0" fontId="0" fillId="2" borderId="47" applyAlignment="1" applyProtection="1" pivotButton="0" quotePrefix="0" xfId="0">
      <alignment horizontal="center" vertical="center"/>
      <protection locked="0" hidden="0"/>
    </xf>
    <xf numFmtId="0" fontId="0" fillId="2" borderId="51" applyAlignment="1" applyProtection="1" pivotButton="0" quotePrefix="0" xfId="0">
      <alignment horizontal="center" vertical="center"/>
      <protection locked="0" hidden="0"/>
    </xf>
    <xf numFmtId="0" fontId="0" fillId="2" borderId="18" applyAlignment="1" applyProtection="1" pivotButton="0" quotePrefix="0" xfId="0">
      <alignment horizontal="center"/>
      <protection locked="0" hidden="0"/>
    </xf>
    <xf numFmtId="0" fontId="0" fillId="2" borderId="47" applyAlignment="1" applyProtection="1" pivotButton="0" quotePrefix="0" xfId="0">
      <alignment horizontal="center"/>
      <protection locked="0" hidden="0"/>
    </xf>
    <xf numFmtId="0" fontId="0" fillId="2" borderId="51" applyAlignment="1" applyProtection="1" pivotButton="0" quotePrefix="0" xfId="0">
      <alignment horizontal="center"/>
      <protection locked="0" hidden="0"/>
    </xf>
    <xf numFmtId="0" fontId="15" fillId="0" borderId="0" pivotButton="0" quotePrefix="0" xfId="0"/>
    <xf numFmtId="0" fontId="0" fillId="0" borderId="0" pivotButton="0" quotePrefix="0" xfId="0"/>
    <xf numFmtId="0" fontId="0" fillId="0" borderId="18" pivotButton="0" quotePrefix="0" xfId="0"/>
    <xf numFmtId="0" fontId="0" fillId="0" borderId="47" pivotButton="0" quotePrefix="0" xfId="0"/>
    <xf numFmtId="0" fontId="0" fillId="0" borderId="51" pivotButton="0" quotePrefix="0" xfId="0"/>
    <xf numFmtId="0" fontId="17" fillId="0" borderId="45" applyAlignment="1" pivotButton="0" quotePrefix="0" xfId="0">
      <alignment vertical="top" wrapText="1"/>
    </xf>
    <xf numFmtId="0" fontId="0" fillId="0" borderId="45" pivotButton="0" quotePrefix="0" xfId="0"/>
    <xf numFmtId="0" fontId="15" fillId="0" borderId="0" applyAlignment="1" pivotButton="0" quotePrefix="0" xfId="0">
      <alignment horizontal="center"/>
    </xf>
    <xf numFmtId="0" fontId="0" fillId="0" borderId="0" applyAlignment="1" pivotButton="0" quotePrefix="0" xfId="0">
      <alignment horizontal="center"/>
    </xf>
    <xf numFmtId="0" fontId="1" fillId="0" borderId="13" pivotButton="0" quotePrefix="0" xfId="0"/>
    <xf numFmtId="0" fontId="1" fillId="0" borderId="14" pivotButton="0" quotePrefix="0" xfId="0"/>
    <xf numFmtId="0" fontId="1" fillId="0" borderId="15" pivotButton="0" quotePrefix="0" xfId="0"/>
    <xf numFmtId="0" fontId="17" fillId="0" borderId="13" pivotButton="0" quotePrefix="0" xfId="0"/>
    <xf numFmtId="0" fontId="17" fillId="0" borderId="14" pivotButton="0" quotePrefix="0" xfId="0"/>
    <xf numFmtId="0" fontId="17" fillId="0" borderId="15" pivotButton="0" quotePrefix="0" xfId="0"/>
    <xf numFmtId="0" fontId="16" fillId="0" borderId="0" pivotButton="0" quotePrefix="0" xfId="0"/>
    <xf numFmtId="0" fontId="27" fillId="0" borderId="18" applyAlignment="1" pivotButton="0" quotePrefix="0" xfId="0">
      <alignment horizontal="center"/>
    </xf>
    <xf numFmtId="0" fontId="27" fillId="0" borderId="51" applyAlignment="1" pivotButton="0" quotePrefix="0" xfId="0">
      <alignment horizontal="center"/>
    </xf>
    <xf numFmtId="0" fontId="0" fillId="0" borderId="18" applyAlignment="1" pivotButton="0" quotePrefix="0" xfId="0">
      <alignment horizontal="center"/>
    </xf>
    <xf numFmtId="0" fontId="0" fillId="0" borderId="51" applyAlignment="1" pivotButton="0" quotePrefix="0" xfId="0">
      <alignment horizontal="center"/>
    </xf>
    <xf numFmtId="0" fontId="0" fillId="0" borderId="47" applyProtection="1" pivotButton="0" quotePrefix="0" xfId="0">
      <protection locked="0" hidden="0"/>
    </xf>
    <xf numFmtId="0" fontId="0" fillId="0" borderId="51" applyProtection="1" pivotButton="0" quotePrefix="0" xfId="0">
      <protection locked="0" hidden="0"/>
    </xf>
    <xf numFmtId="0" fontId="0" fillId="2" borderId="17" applyAlignment="1" applyProtection="1" pivotButton="0" quotePrefix="0" xfId="0">
      <alignment horizontal="center" vertical="center"/>
      <protection locked="0" hidden="0"/>
    </xf>
    <xf numFmtId="0" fontId="1" fillId="0" borderId="52" pivotButton="0" quotePrefix="0" xfId="0"/>
    <xf numFmtId="0" fontId="0" fillId="0" borderId="14" pivotButton="0" quotePrefix="0" xfId="0"/>
    <xf numFmtId="0" fontId="0" fillId="0" borderId="15" pivotButton="0" quotePrefix="0" xfId="0"/>
    <xf numFmtId="0" fontId="17" fillId="0" borderId="52" pivotButton="0" quotePrefix="0" xfId="0"/>
    <xf numFmtId="0" fontId="27" fillId="0" borderId="17"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chartsheet" Target="/xl/chartsheets/sheet1.xml" Id="rId3"/><Relationship Type="http://schemas.openxmlformats.org/officeDocument/2006/relationships/chartsheet" Target="/xl/chartsheets/sheet2.xml" Id="rId4"/><Relationship Type="http://schemas.openxmlformats.org/officeDocument/2006/relationships/chartsheet" Target="/xl/chartsheets/sheet3.xml" Id="rId5"/><Relationship Type="http://schemas.openxmlformats.org/officeDocument/2006/relationships/chartsheet" Target="/xl/chartsheets/sheet4.xml" Id="rId6"/><Relationship Type="http://schemas.openxmlformats.org/officeDocument/2006/relationships/chartsheet" Target="/xl/chartsheets/sheet5.xml" Id="rId7"/><Relationship Type="http://schemas.openxmlformats.org/officeDocument/2006/relationships/chartsheet" Target="/xl/chartsheets/sheet6.xml" Id="rId8"/><Relationship Type="http://schemas.openxmlformats.org/officeDocument/2006/relationships/chartsheet" Target="/xl/chartsheets/sheet7.xml" Id="rId9"/><Relationship Type="http://schemas.openxmlformats.org/officeDocument/2006/relationships/chartsheet" Target="/xl/chartsheets/sheet8.xml" Id="rId10"/><Relationship Type="http://schemas.openxmlformats.org/officeDocument/2006/relationships/chartsheet" Target="/xl/chartsheets/sheet9.xml" Id="rId11"/><Relationship Type="http://schemas.openxmlformats.org/officeDocument/2006/relationships/chartsheet" Target="/xl/chartsheets/sheet10.xml" Id="rId12"/><Relationship Type="http://schemas.openxmlformats.org/officeDocument/2006/relationships/chartsheet" Target="/xl/chartsheets/sheet11.xml" Id="rId13"/><Relationship Type="http://schemas.openxmlformats.org/officeDocument/2006/relationships/chartsheet" Target="/xl/chartsheets/sheet12.xml" Id="rId14"/><Relationship Type="http://schemas.openxmlformats.org/officeDocument/2006/relationships/worksheet" Target="/xl/worksheets/sheet3.xml" Id="rId15"/><Relationship Type="http://schemas.openxmlformats.org/officeDocument/2006/relationships/worksheet" Target="/xl/worksheets/sheet4.xml" Id="rId16"/><Relationship Type="http://schemas.openxmlformats.org/officeDocument/2006/relationships/worksheet" Target="/xl/worksheets/sheet5.xml" Id="rId17"/><Relationship Type="http://schemas.openxmlformats.org/officeDocument/2006/relationships/worksheet" Target="/xl/worksheets/sheet6.xml" Id="rId18"/><Relationship Type="http://schemas.openxmlformats.org/officeDocument/2006/relationships/worksheet" Target="/xl/worksheets/sheet7.xml" Id="rId19"/><Relationship Type="http://schemas.openxmlformats.org/officeDocument/2006/relationships/worksheet" Target="/xl/worksheets/sheet8.xml" Id="rId20"/><Relationship Type="http://schemas.openxmlformats.org/officeDocument/2006/relationships/worksheet" Target="/xl/worksheets/sheet9.xml" Id="rId21"/><Relationship Type="http://schemas.openxmlformats.org/officeDocument/2006/relationships/worksheet" Target="/xl/worksheets/sheet10.xml" Id="rId22"/><Relationship Type="http://schemas.openxmlformats.org/officeDocument/2006/relationships/styles" Target="styles.xml" Id="rId23"/><Relationship Type="http://schemas.openxmlformats.org/officeDocument/2006/relationships/theme" Target="theme/theme1.xml" Id="rId24"/></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b="1" i="0" strike="noStrike" baseline="0">
                <a:solidFill>
                  <a:srgbClr val="000000"/>
                </a:solidFill>
                <a:latin typeface="Arial"/>
                <a:ea typeface="Arial"/>
                <a:cs typeface="Arial"/>
              </a:defRPr>
            </a:pPr>
            <a:r>
              <a:rPr lang="en-US"/>
              <a:t>Figure B20-1. HERS BESTEST Tier-1 Example Results – Annual or Seasonal Heating Load (L100AC - L202AC), Colorado Springs, CO</a:t>
            </a:r>
          </a:p>
        </rich>
      </tx>
      <layout>
        <manualLayout>
          <xMode val="edge"/>
          <yMode val="edge"/>
          <wMode val="factor"/>
          <hMode val="factor"/>
          <x val="0.1290322580645161"/>
          <y val="0"/>
        </manualLayout>
      </layout>
      <overlay val="0"/>
      <spPr>
        <a:noFill xmlns:a="http://schemas.openxmlformats.org/drawingml/2006/main"/>
        <a:ln xmlns:a="http://schemas.openxmlformats.org/drawingml/2006/main" w="25400">
          <a:noFill/>
          <a:prstDash val="solid"/>
        </a:ln>
      </spPr>
    </title>
    <plotArea>
      <layout>
        <manualLayout>
          <layoutTarget val="inner"/>
          <xMode val="edge"/>
          <yMode val="edge"/>
          <wMode val="factor"/>
          <hMode val="factor"/>
          <x val="0.1045606229143493"/>
          <y val="0.1076672104404568"/>
          <w val="0.8843159065628476"/>
          <h val="0.7487765089722676"/>
        </manualLayout>
      </layout>
      <barChart>
        <barDir val="col"/>
        <grouping val="clustered"/>
        <varyColors val="0"/>
        <ser>
          <idx val="0"/>
          <order val="0"/>
          <tx>
            <strRef>
              <f>PlotData!$B$4</f>
              <strCache>
                <ptCount val="1"/>
                <pt idx="0">
                  <v>BLAST 3.0</v>
                </pt>
              </strCache>
            </strRef>
          </tx>
          <spPr>
            <a:pattFill xmlns:a="http://schemas.openxmlformats.org/drawingml/2006/main" prst="lgGrid">
              <a:fgClr>
                <a:srgbClr val="000000"/>
              </a:fgClr>
              <a:bgClr>
                <a:srgbClr val="FFFFFF"/>
              </a:bgClr>
            </a:pattFill>
            <a:ln xmlns:a="http://schemas.openxmlformats.org/drawingml/2006/main" w="25400">
              <a:solidFill>
                <a:srgbClr val="000000"/>
              </a:solidFill>
              <a:prstDash val="solid"/>
            </a:ln>
          </spPr>
          <invertIfNegative val="0"/>
          <cat>
            <strRef>
              <f>PlotData!$C$3:$M$3</f>
              <strCache>
                <ptCount val="11"/>
                <pt idx="0">
                  <v>L100AC</v>
                </pt>
                <pt idx="1">
                  <v>L110AC</v>
                </pt>
                <pt idx="2">
                  <v>L120AC</v>
                </pt>
                <pt idx="3">
                  <v>L130AC</v>
                </pt>
                <pt idx="4">
                  <v>L140AC</v>
                </pt>
                <pt idx="5">
                  <v>L150AC</v>
                </pt>
                <pt idx="6">
                  <v>L155AC</v>
                </pt>
                <pt idx="7">
                  <v>L160AC</v>
                </pt>
                <pt idx="8">
                  <v>L170AC</v>
                </pt>
                <pt idx="9">
                  <v>L200AC</v>
                </pt>
                <pt idx="10">
                  <v>L202AC</v>
                </pt>
              </strCache>
            </strRef>
          </cat>
          <val>
            <numRef>
              <f>PlotData!$C$4:$M$4</f>
              <numCache>
                <formatCode>0.00</formatCode>
                <ptCount val="11"/>
                <pt idx="0">
                  <v>61.94</v>
                </pt>
                <pt idx="1">
                  <v>85.95000000000002</v>
                </pt>
                <pt idx="2">
                  <v>50.27</v>
                </pt>
                <pt idx="3">
                  <v>46.34999999999999</v>
                </pt>
                <pt idx="4">
                  <v>49.14999999999999</v>
                </pt>
                <pt idx="5">
                  <v>54.93</v>
                </pt>
                <pt idx="6">
                  <v>57.39</v>
                </pt>
                <pt idx="7">
                  <v>62.90000000000001</v>
                </pt>
                <pt idx="8">
                  <v>73.05999999999999</v>
                </pt>
                <pt idx="9">
                  <v>133.97</v>
                </pt>
                <pt idx="10">
                  <v>137.47</v>
                </pt>
              </numCache>
            </numRef>
          </val>
        </ser>
        <ser>
          <idx val="1"/>
          <order val="1"/>
          <tx>
            <strRef>
              <f>PlotData!$B$5</f>
              <strCache>
                <ptCount val="1"/>
                <pt idx="0">
                  <v>DOE-2.1E</v>
                </pt>
              </strCache>
            </strRef>
          </tx>
          <spPr>
            <a:solidFill xmlns:a="http://schemas.openxmlformats.org/drawingml/2006/main">
              <a:srgbClr val="C0C0C0"/>
            </a:solidFill>
            <a:ln xmlns:a="http://schemas.openxmlformats.org/drawingml/2006/main" w="25400">
              <a:solidFill>
                <a:srgbClr val="000000"/>
              </a:solidFill>
              <a:prstDash val="solid"/>
            </a:ln>
          </spPr>
          <invertIfNegative val="0"/>
          <cat>
            <strRef>
              <f>PlotData!$C$3:$M$3</f>
              <strCache>
                <ptCount val="11"/>
                <pt idx="0">
                  <v>L100AC</v>
                </pt>
                <pt idx="1">
                  <v>L110AC</v>
                </pt>
                <pt idx="2">
                  <v>L120AC</v>
                </pt>
                <pt idx="3">
                  <v>L130AC</v>
                </pt>
                <pt idx="4">
                  <v>L140AC</v>
                </pt>
                <pt idx="5">
                  <v>L150AC</v>
                </pt>
                <pt idx="6">
                  <v>L155AC</v>
                </pt>
                <pt idx="7">
                  <v>L160AC</v>
                </pt>
                <pt idx="8">
                  <v>L170AC</v>
                </pt>
                <pt idx="9">
                  <v>L200AC</v>
                </pt>
                <pt idx="10">
                  <v>L202AC</v>
                </pt>
              </strCache>
            </strRef>
          </cat>
          <val>
            <numRef>
              <f>PlotData!$C$5:$M$5</f>
              <numCache>
                <formatCode>0.00</formatCode>
                <ptCount val="11"/>
                <pt idx="0">
                  <v>58</v>
                </pt>
                <pt idx="1">
                  <v>81.39</v>
                </pt>
                <pt idx="2">
                  <v>45.1</v>
                </pt>
                <pt idx="3">
                  <v>45.83999999999999</v>
                </pt>
                <pt idx="4">
                  <v>47.25000000000001</v>
                </pt>
                <pt idx="5">
                  <v>49.48</v>
                </pt>
                <pt idx="6">
                  <v>52.3</v>
                </pt>
                <pt idx="7">
                  <v>58.29</v>
                </pt>
                <pt idx="8">
                  <v>71.64999999999999</v>
                </pt>
                <pt idx="9">
                  <v>136.12</v>
                </pt>
                <pt idx="10">
                  <v>142.06</v>
                </pt>
              </numCache>
            </numRef>
          </val>
        </ser>
        <ser>
          <idx val="2"/>
          <order val="2"/>
          <tx>
            <strRef>
              <f>PlotData!$B$6</f>
              <strCache>
                <ptCount val="1"/>
                <pt idx="0">
                  <v>SRES/SUN 5.7</v>
                </pt>
              </strCache>
            </strRef>
          </tx>
          <spPr>
            <a:pattFill xmlns:a="http://schemas.openxmlformats.org/drawingml/2006/main" prst="lgCheck">
              <a:fgClr>
                <a:srgbClr val="000000"/>
              </a:fgClr>
              <a:bgClr>
                <a:srgbClr val="FFFFFF"/>
              </a:bgClr>
            </a:pattFill>
            <a:ln xmlns:a="http://schemas.openxmlformats.org/drawingml/2006/main" w="25400">
              <a:solidFill>
                <a:srgbClr val="000000"/>
              </a:solidFill>
              <a:prstDash val="solid"/>
            </a:ln>
          </spPr>
          <invertIfNegative val="0"/>
          <cat>
            <strRef>
              <f>PlotData!$C$3:$M$3</f>
              <strCache>
                <ptCount val="11"/>
                <pt idx="0">
                  <v>L100AC</v>
                </pt>
                <pt idx="1">
                  <v>L110AC</v>
                </pt>
                <pt idx="2">
                  <v>L120AC</v>
                </pt>
                <pt idx="3">
                  <v>L130AC</v>
                </pt>
                <pt idx="4">
                  <v>L140AC</v>
                </pt>
                <pt idx="5">
                  <v>L150AC</v>
                </pt>
                <pt idx="6">
                  <v>L155AC</v>
                </pt>
                <pt idx="7">
                  <v>L160AC</v>
                </pt>
                <pt idx="8">
                  <v>L170AC</v>
                </pt>
                <pt idx="9">
                  <v>L200AC</v>
                </pt>
                <pt idx="10">
                  <v>L202AC</v>
                </pt>
              </strCache>
            </strRef>
          </cat>
          <val>
            <numRef>
              <f>PlotData!$C$6:$M$6</f>
              <numCache>
                <formatCode>0.00</formatCode>
                <ptCount val="11"/>
                <pt idx="0">
                  <v>72.39</v>
                </pt>
                <pt idx="1">
                  <v>96.53</v>
                </pt>
                <pt idx="2">
                  <v>57.81999999999999</v>
                </pt>
                <pt idx="3">
                  <v>49.98</v>
                </pt>
                <pt idx="4">
                  <v>52.48</v>
                </pt>
                <pt idx="5">
                  <v>64.03000000000002</v>
                </pt>
                <pt idx="6">
                  <v>66.89999999999999</v>
                </pt>
                <pt idx="7">
                  <v>73.50999999999999</v>
                </pt>
                <pt idx="8">
                  <v>85.45999999999999</v>
                </pt>
                <pt idx="9">
                  <v>168.34</v>
                </pt>
                <pt idx="10">
                  <v>172.55</v>
                </pt>
              </numCache>
            </numRef>
          </val>
        </ser>
        <ser>
          <idx val="3"/>
          <order val="3"/>
          <tx>
            <strRef>
              <f>PlotData!$B$7</f>
              <strCache>
                <ptCount val="1"/>
                <pt idx="0">
                  <v>Tested Software 1.0</v>
                </pt>
              </strCache>
            </strRef>
          </tx>
          <spPr>
            <a:solidFill xmlns:a="http://schemas.openxmlformats.org/drawingml/2006/main">
              <a:srgbClr val="FF0000"/>
            </a:solidFill>
            <a:ln xmlns:a="http://schemas.openxmlformats.org/drawingml/2006/main" w="12700">
              <a:solidFill>
                <a:srgbClr val="000000"/>
              </a:solidFill>
              <a:prstDash val="solid"/>
            </a:ln>
          </spPr>
          <invertIfNegative val="0"/>
          <cat>
            <strRef>
              <f>PlotData!$C$3:$M$3</f>
              <strCache>
                <ptCount val="11"/>
                <pt idx="0">
                  <v>L100AC</v>
                </pt>
                <pt idx="1">
                  <v>L110AC</v>
                </pt>
                <pt idx="2">
                  <v>L120AC</v>
                </pt>
                <pt idx="3">
                  <v>L130AC</v>
                </pt>
                <pt idx="4">
                  <v>L140AC</v>
                </pt>
                <pt idx="5">
                  <v>L150AC</v>
                </pt>
                <pt idx="6">
                  <v>L155AC</v>
                </pt>
                <pt idx="7">
                  <v>L160AC</v>
                </pt>
                <pt idx="8">
                  <v>L170AC</v>
                </pt>
                <pt idx="9">
                  <v>L200AC</v>
                </pt>
                <pt idx="10">
                  <v>L202AC</v>
                </pt>
              </strCache>
            </strRef>
          </cat>
          <val>
            <numRef>
              <f>PlotData!$C$7:$M$7</f>
              <numCache>
                <formatCode>0.00</formatCode>
                <ptCount val="11"/>
                <pt idx="0">
                  <v>64.11</v>
                </pt>
                <pt idx="1">
                  <v>87.95666666666666</v>
                </pt>
                <pt idx="2">
                  <v>51.06333333333333</v>
                </pt>
                <pt idx="3">
                  <v>47.38999999999999</v>
                </pt>
                <pt idx="4">
                  <v>49.62666666666667</v>
                </pt>
                <pt idx="5">
                  <v>56.14666666666667</v>
                </pt>
                <pt idx="6">
                  <v>58.86333333333332</v>
                </pt>
                <pt idx="7">
                  <v>64.89999999999999</v>
                </pt>
                <pt idx="8">
                  <v>76.72333333333331</v>
                </pt>
                <pt idx="9">
                  <v>146.1433333333333</v>
                </pt>
                <pt idx="10">
                  <v>150.6933333333333</v>
                </pt>
              </numCache>
            </numRef>
          </val>
        </ser>
        <dLbls>
          <showLegendKey val="0"/>
          <showVal val="0"/>
          <showCatName val="0"/>
          <showSerName val="0"/>
          <showPercent val="0"/>
          <showBubbleSize val="0"/>
        </dLbls>
        <gapWidth val="150"/>
        <axId val="99336072"/>
        <axId val="1"/>
      </barChart>
      <catAx>
        <axId val="99336072"/>
        <scaling>
          <orientation val="minMax"/>
        </scaling>
        <delete val="0"/>
        <axPos val="b"/>
        <numFmt formatCode="General" sourceLinked="1"/>
        <majorTickMark val="out"/>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200" b="1" i="0" strike="noStrike" baseline="0">
                <a:solidFill>
                  <a:srgbClr val="000000"/>
                </a:solidFill>
                <a:latin typeface="Arial"/>
                <a:ea typeface="Arial"/>
                <a:cs typeface="Arial"/>
              </a:defRPr>
            </a:pPr>
            <a:r>
              <a:t/>
            </a:r>
            <a:endParaRPr lang="en-US"/>
          </a:p>
        </txPr>
        <crossAx val="1"/>
        <crosses val="autoZero"/>
        <auto val="1"/>
        <lblAlgn val="ctr"/>
        <lblOffset val="100"/>
        <tickLblSkip val="1"/>
        <tickMarkSkip val="1"/>
        <noMultiLvlLbl val="0"/>
      </catAx>
      <valAx>
        <axId val="1"/>
        <scaling>
          <orientation val="minMax"/>
        </scaling>
        <delete val="0"/>
        <axPos val="l"/>
        <majorGridlines>
          <spPr>
            <a:ln xmlns:a="http://schemas.openxmlformats.org/drawingml/2006/main" w="3175">
              <a:solidFill>
                <a:srgbClr val="808080"/>
              </a:solidFill>
              <a:prstDash val="sysDash"/>
            </a:ln>
          </spPr>
        </majorGridlines>
        <numFmt formatCode="0" sourceLinked="0"/>
        <majorTickMark val="out"/>
        <minorTickMark val="in"/>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600" b="1" i="0" strike="noStrike" baseline="0">
                <a:solidFill>
                  <a:srgbClr val="000000"/>
                </a:solidFill>
                <a:latin typeface="Arial"/>
                <a:ea typeface="Arial"/>
                <a:cs typeface="Arial"/>
              </a:defRPr>
            </a:pPr>
            <a:r>
              <a:t/>
            </a:r>
            <a:endParaRPr lang="en-US"/>
          </a:p>
        </txPr>
        <crossAx val="99336072"/>
        <crosses val="autoZero"/>
        <crossBetween val="between"/>
        <minorUnit val="5"/>
      </valAx>
    </plotArea>
    <legend>
      <legendPos val="r"/>
      <layout>
        <manualLayout>
          <xMode val="edge"/>
          <yMode val="edge"/>
          <wMode val="factor"/>
          <hMode val="factor"/>
          <x val="0.09899888765294772"/>
          <y val="0.9233278955954323"/>
          <w val="0.8932146829810901"/>
          <h val="0.06851549755301795"/>
        </manualLayout>
      </layout>
      <overlay val="0"/>
      <spPr>
        <a:solidFill xmlns:a="http://schemas.openxmlformats.org/drawingml/2006/main">
          <a:srgbClr val="FFFFFF"/>
        </a:solidFill>
        <a:ln xmlns:a="http://schemas.openxmlformats.org/drawingml/2006/main" w="25400">
          <a:noFill/>
          <a:prstDash val="solid"/>
        </a:ln>
      </spPr>
      <txPr>
        <a:bodyPr xmlns:a="http://schemas.openxmlformats.org/drawingml/2006/main"/>
        <a:lstStyle xmlns:a="http://schemas.openxmlformats.org/drawingml/2006/main"/>
        <a:p xmlns:a="http://schemas.openxmlformats.org/drawingml/2006/main">
          <a:pPr>
            <a:defRPr sz="1655" b="0" i="0" strike="noStrike" baseline="0">
              <a:solidFill>
                <a:srgbClr val="000000"/>
              </a:solidFill>
              <a:latin typeface="Arial"/>
              <a:ea typeface="Arial"/>
              <a:cs typeface="Arial"/>
            </a:defRPr>
          </a:pPr>
          <a:r>
            <a:t/>
          </a:r>
          <a:endParaRPr lang="en-US"/>
        </a:p>
      </txPr>
    </legend>
    <plotVisOnly val="1"/>
    <dispBlanksAs val="gap"/>
  </chart>
  <spPr>
    <a:noFill xmlns:a="http://schemas.openxmlformats.org/drawingml/2006/main"/>
    <a:ln xmlns:a="http://schemas.openxmlformats.org/drawingml/2006/main" w="6350">
      <a:no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b="1" i="0" strike="noStrike" baseline="0">
                <a:solidFill>
                  <a:srgbClr val="000000"/>
                </a:solidFill>
                <a:latin typeface="Arial"/>
                <a:ea typeface="Arial"/>
                <a:cs typeface="Arial"/>
              </a:defRPr>
            </a:pPr>
            <a:r>
              <a:rPr lang="en-US"/>
              <a:t>Figure B20-2. HERS BESTEST Tier-1 Example Results – Annual or Seasonal Heating Load (L302AB - L324AB), Colorado Springs, CO</a:t>
            </a:r>
          </a:p>
        </rich>
      </tx>
      <layout>
        <manualLayout>
          <xMode val="edge"/>
          <yMode val="edge"/>
          <wMode val="factor"/>
          <hMode val="factor"/>
          <x val="0.1312569521690768"/>
          <y val="0"/>
        </manualLayout>
      </layout>
      <overlay val="0"/>
      <spPr>
        <a:noFill xmlns:a="http://schemas.openxmlformats.org/drawingml/2006/main"/>
        <a:ln xmlns:a="http://schemas.openxmlformats.org/drawingml/2006/main" w="25400">
          <a:noFill/>
          <a:prstDash val="solid"/>
        </a:ln>
      </spPr>
    </title>
    <plotArea>
      <layout>
        <manualLayout>
          <layoutTarget val="inner"/>
          <xMode val="edge"/>
          <yMode val="edge"/>
          <wMode val="factor"/>
          <hMode val="factor"/>
          <x val="0.1045606229143493"/>
          <y val="0.135399673735726"/>
          <w val="0.8832035595105673"/>
          <h val="0.6411092985318108"/>
        </manualLayout>
      </layout>
      <barChart>
        <barDir val="col"/>
        <grouping val="clustered"/>
        <varyColors val="0"/>
        <ser>
          <idx val="0"/>
          <order val="0"/>
          <tx>
            <strRef>
              <f>PlotData!$B$10</f>
              <strCache>
                <ptCount val="1"/>
                <pt idx="0">
                  <v>BLAST 3.0, min</v>
                </pt>
              </strCache>
            </strRef>
          </tx>
          <spPr>
            <a:pattFill xmlns:a="http://schemas.openxmlformats.org/drawingml/2006/main" prst="lgGrid">
              <a:fgClr>
                <a:srgbClr val="000000"/>
              </a:fgClr>
              <a:bgClr>
                <a:srgbClr val="FFFFFF"/>
              </a:bgClr>
            </a:pattFill>
            <a:ln xmlns:a="http://schemas.openxmlformats.org/drawingml/2006/main" w="25400">
              <a:solidFill>
                <a:srgbClr val="000000"/>
              </a:solidFill>
              <a:prstDash val="solid"/>
            </a:ln>
          </spPr>
          <invertIfNegative val="0"/>
          <cat>
            <strRef>
              <f>PlotData!$C$9:$F$9</f>
              <strCache>
                <ptCount val="4"/>
                <pt idx="0">
                  <v>L302AB</v>
                </pt>
                <pt idx="1">
                  <v>L304AB</v>
                </pt>
                <pt idx="2">
                  <v>L322AB</v>
                </pt>
                <pt idx="3">
                  <v>L324AB</v>
                </pt>
              </strCache>
            </strRef>
          </cat>
          <val>
            <numRef>
              <f>PlotData!$C$10:$F$10</f>
              <numCache>
                <formatCode>0.00</formatCode>
                <ptCount val="4"/>
                <pt idx="0">
                  <v>65.23999999999999</v>
                </pt>
                <pt idx="1">
                  <v>55.59</v>
                </pt>
                <pt idx="2">
                  <v>81.82000000000001</v>
                </pt>
                <pt idx="3">
                  <v>56.58999999999999</v>
                </pt>
              </numCache>
            </numRef>
          </val>
        </ser>
        <ser>
          <idx val="1"/>
          <order val="1"/>
          <tx>
            <strRef>
              <f>PlotData!$B$11</f>
              <strCache>
                <ptCount val="1"/>
                <pt idx="0">
                  <v>BLAST 3.0, max</v>
                </pt>
              </strCache>
            </strRef>
          </tx>
          <spPr>
            <a:pattFill xmlns:a="http://schemas.openxmlformats.org/drawingml/2006/main" prst="lgGrid">
              <a:fgClr>
                <a:srgbClr val="0000FF"/>
              </a:fgClr>
              <a:bgClr>
                <a:srgbClr val="FFFFFF"/>
              </a:bgClr>
            </a:pattFill>
            <a:ln xmlns:a="http://schemas.openxmlformats.org/drawingml/2006/main" w="25400">
              <a:solidFill>
                <a:srgbClr val="000000"/>
              </a:solidFill>
              <a:prstDash val="solid"/>
            </a:ln>
          </spPr>
          <invertIfNegative val="0"/>
          <cat>
            <strRef>
              <f>PlotData!$C$9:$F$9</f>
              <strCache>
                <ptCount val="4"/>
                <pt idx="0">
                  <v>L302AB</v>
                </pt>
                <pt idx="1">
                  <v>L304AB</v>
                </pt>
                <pt idx="2">
                  <v>L322AB</v>
                </pt>
                <pt idx="3">
                  <v>L324AB</v>
                </pt>
              </strCache>
            </strRef>
          </cat>
          <val>
            <numRef>
              <f>PlotData!$C$11:$F$11</f>
              <numCache>
                <formatCode>0.00</formatCode>
                <ptCount val="4"/>
                <pt idx="0">
                  <v>70.5</v>
                </pt>
                <pt idx="1">
                  <v>60.05</v>
                </pt>
                <pt idx="2">
                  <v>92.49000000000001</v>
                </pt>
                <pt idx="3">
                  <v>65.01000000000001</v>
                </pt>
              </numCache>
            </numRef>
          </val>
        </ser>
        <ser>
          <idx val="2"/>
          <order val="2"/>
          <tx>
            <strRef>
              <f>PlotData!$B$12</f>
              <strCache>
                <ptCount val="1"/>
                <pt idx="0">
                  <v>DOE-2.1E, min</v>
                </pt>
              </strCache>
            </strRef>
          </tx>
          <spPr>
            <a:solidFill xmlns:a="http://schemas.openxmlformats.org/drawingml/2006/main">
              <a:srgbClr val="C0C0C0"/>
            </a:solidFill>
            <a:ln xmlns:a="http://schemas.openxmlformats.org/drawingml/2006/main" w="25400">
              <a:solidFill>
                <a:srgbClr val="000000"/>
              </a:solidFill>
              <a:prstDash val="solid"/>
            </a:ln>
          </spPr>
          <invertIfNegative val="0"/>
          <cat>
            <strRef>
              <f>PlotData!$C$9:$F$9</f>
              <strCache>
                <ptCount val="4"/>
                <pt idx="0">
                  <v>L302AB</v>
                </pt>
                <pt idx="1">
                  <v>L304AB</v>
                </pt>
                <pt idx="2">
                  <v>L322AB</v>
                </pt>
                <pt idx="3">
                  <v>L324AB</v>
                </pt>
              </strCache>
            </strRef>
          </cat>
          <val>
            <numRef>
              <f>PlotData!$C$12:$F$12</f>
              <numCache>
                <formatCode>0.00</formatCode>
                <ptCount val="4"/>
                <pt idx="0">
                  <v>60.11999999999998</v>
                </pt>
                <pt idx="1">
                  <v>50.12</v>
                </pt>
                <pt idx="2">
                  <v>77.72</v>
                </pt>
                <pt idx="3">
                  <v>50.38</v>
                </pt>
              </numCache>
            </numRef>
          </val>
        </ser>
        <ser>
          <idx val="3"/>
          <order val="3"/>
          <tx>
            <strRef>
              <f>PlotData!$B$13</f>
              <strCache>
                <ptCount val="1"/>
                <pt idx="0">
                  <v>DOE-2.1E, max</v>
                </pt>
              </strCache>
            </strRef>
          </tx>
          <spPr>
            <a:solidFill xmlns:a="http://schemas.openxmlformats.org/drawingml/2006/main">
              <a:srgbClr val="9999FF"/>
            </a:solidFill>
            <a:ln xmlns:a="http://schemas.openxmlformats.org/drawingml/2006/main" w="12700">
              <a:solidFill>
                <a:srgbClr val="000000"/>
              </a:solidFill>
              <a:prstDash val="solid"/>
            </a:ln>
          </spPr>
          <invertIfNegative val="0"/>
          <cat>
            <strRef>
              <f>PlotData!$C$9:$F$9</f>
              <strCache>
                <ptCount val="4"/>
                <pt idx="0">
                  <v>L302AB</v>
                </pt>
                <pt idx="1">
                  <v>L304AB</v>
                </pt>
                <pt idx="2">
                  <v>L322AB</v>
                </pt>
                <pt idx="3">
                  <v>L324AB</v>
                </pt>
              </strCache>
            </strRef>
          </cat>
          <val>
            <numRef>
              <f>PlotData!$C$13:$F$13</f>
              <numCache>
                <formatCode>0.00</formatCode>
                <ptCount val="4"/>
                <pt idx="0">
                  <v>67.44</v>
                </pt>
                <pt idx="1">
                  <v>56.64000000000001</v>
                </pt>
                <pt idx="2">
                  <v>88.25999999999999</v>
                </pt>
                <pt idx="3">
                  <v>61.11</v>
                </pt>
              </numCache>
            </numRef>
          </val>
        </ser>
        <ser>
          <idx val="4"/>
          <order val="4"/>
          <tx>
            <strRef>
              <f>PlotData!$B$14</f>
              <strCache>
                <ptCount val="1"/>
                <pt idx="0">
                  <v>SRES/SUN 5.7, min</v>
                </pt>
              </strCache>
            </strRef>
          </tx>
          <spPr>
            <a:pattFill xmlns:a="http://schemas.openxmlformats.org/drawingml/2006/main" prst="lgCheck">
              <a:fgClr>
                <a:srgbClr val="000000"/>
              </a:fgClr>
              <a:bgClr>
                <a:srgbClr val="FFFFFF"/>
              </a:bgClr>
            </a:pattFill>
            <a:ln xmlns:a="http://schemas.openxmlformats.org/drawingml/2006/main" w="12700">
              <a:solidFill>
                <a:srgbClr val="000000"/>
              </a:solidFill>
              <a:prstDash val="solid"/>
            </a:ln>
          </spPr>
          <invertIfNegative val="0"/>
          <cat>
            <strRef>
              <f>PlotData!$C$9:$F$9</f>
              <strCache>
                <ptCount val="4"/>
                <pt idx="0">
                  <v>L302AB</v>
                </pt>
                <pt idx="1">
                  <v>L304AB</v>
                </pt>
                <pt idx="2">
                  <v>L322AB</v>
                </pt>
                <pt idx="3">
                  <v>L324AB</v>
                </pt>
              </strCache>
            </strRef>
          </cat>
          <val>
            <numRef>
              <f>PlotData!$C$14:$F$14</f>
              <numCache>
                <formatCode>0.00</formatCode>
                <ptCount val="4"/>
                <pt idx="0">
                  <v>73.09999999999999</v>
                </pt>
                <pt idx="1">
                  <v>61.59</v>
                </pt>
                <pt idx="2">
                  <v>92.10000000000001</v>
                </pt>
                <pt idx="3">
                  <v>62.45</v>
                </pt>
              </numCache>
            </numRef>
          </val>
        </ser>
        <ser>
          <idx val="5"/>
          <order val="5"/>
          <tx>
            <strRef>
              <f>PlotData!$B$15</f>
              <strCache>
                <ptCount val="1"/>
                <pt idx="0">
                  <v>SRES/SUN 5.7, max</v>
                </pt>
              </strCache>
            </strRef>
          </tx>
          <spPr>
            <a:pattFill xmlns:a="http://schemas.openxmlformats.org/drawingml/2006/main" prst="lgCheck">
              <a:fgClr>
                <a:srgbClr val="0000FF"/>
              </a:fgClr>
              <a:bgClr>
                <a:srgbClr val="FFFFFF"/>
              </a:bgClr>
            </a:pattFill>
            <a:ln xmlns:a="http://schemas.openxmlformats.org/drawingml/2006/main" w="12700">
              <a:solidFill>
                <a:srgbClr val="000000"/>
              </a:solidFill>
              <a:prstDash val="solid"/>
            </a:ln>
          </spPr>
          <invertIfNegative val="0"/>
          <cat>
            <strRef>
              <f>PlotData!$C$9:$F$9</f>
              <strCache>
                <ptCount val="4"/>
                <pt idx="0">
                  <v>L302AB</v>
                </pt>
                <pt idx="1">
                  <v>L304AB</v>
                </pt>
                <pt idx="2">
                  <v>L322AB</v>
                </pt>
                <pt idx="3">
                  <v>L324AB</v>
                </pt>
              </strCache>
            </strRef>
          </cat>
          <val>
            <numRef>
              <f>PlotData!$C$15:$F$15</f>
              <numCache>
                <formatCode>0.00</formatCode>
                <ptCount val="4"/>
                <pt idx="0">
                  <v>82.92</v>
                </pt>
                <pt idx="1">
                  <v>69.16</v>
                </pt>
                <pt idx="2">
                  <v>107.68</v>
                </pt>
                <pt idx="3">
                  <v>73.47</v>
                </pt>
              </numCache>
            </numRef>
          </val>
        </ser>
        <ser>
          <idx val="6"/>
          <order val="6"/>
          <tx>
            <strRef>
              <f>PlotData!$B$16</f>
              <strCache>
                <ptCount val="1"/>
                <pt idx="0">
                  <v>Tested Software 1.0</v>
                </pt>
              </strCache>
            </strRef>
          </tx>
          <spPr>
            <a:solidFill xmlns:a="http://schemas.openxmlformats.org/drawingml/2006/main">
              <a:srgbClr val="FF0000"/>
            </a:solidFill>
            <a:ln xmlns:a="http://schemas.openxmlformats.org/drawingml/2006/main" w="12700">
              <a:solidFill>
                <a:srgbClr val="000000"/>
              </a:solidFill>
              <a:prstDash val="solid"/>
            </a:ln>
          </spPr>
          <invertIfNegative val="0"/>
          <cat>
            <strRef>
              <f>PlotData!$C$9:$F$9</f>
              <strCache>
                <ptCount val="4"/>
                <pt idx="0">
                  <v>L302AB</v>
                </pt>
                <pt idx="1">
                  <v>L304AB</v>
                </pt>
                <pt idx="2">
                  <v>L322AB</v>
                </pt>
                <pt idx="3">
                  <v>L324AB</v>
                </pt>
              </strCache>
            </strRef>
          </cat>
          <val>
            <numRef>
              <f>PlotData!$C$16:$F$16</f>
              <numCache>
                <formatCode>0.00</formatCode>
                <ptCount val="4"/>
                <pt idx="0">
                  <v>73.62</v>
                </pt>
                <pt idx="1">
                  <v>61.95000000000001</v>
                </pt>
                <pt idx="2">
                  <v>95.28333333333332</v>
                </pt>
                <pt idx="3">
                  <v>66.2</v>
                </pt>
              </numCache>
            </numRef>
          </val>
        </ser>
        <dLbls>
          <showLegendKey val="0"/>
          <showVal val="0"/>
          <showCatName val="0"/>
          <showSerName val="0"/>
          <showPercent val="0"/>
          <showBubbleSize val="0"/>
        </dLbls>
        <gapWidth val="150"/>
        <axId val="576491032"/>
        <axId val="1"/>
      </barChart>
      <catAx>
        <axId val="576491032"/>
        <scaling>
          <orientation val="minMax"/>
        </scaling>
        <delete val="0"/>
        <axPos val="b"/>
        <numFmt formatCode="General" sourceLinked="1"/>
        <majorTickMark val="out"/>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600" b="1" i="0" strike="noStrike" baseline="0">
                <a:solidFill>
                  <a:srgbClr val="000000"/>
                </a:solidFill>
                <a:latin typeface="Arial"/>
                <a:ea typeface="Arial"/>
                <a:cs typeface="Arial"/>
              </a:defRPr>
            </a:pPr>
            <a:r>
              <a:t/>
            </a:r>
            <a:endParaRPr lang="en-US"/>
          </a:p>
        </txPr>
        <crossAx val="1"/>
        <crosses val="autoZero"/>
        <auto val="1"/>
        <lblAlgn val="ctr"/>
        <lblOffset val="100"/>
        <tickLblSkip val="1"/>
        <tickMarkSkip val="1"/>
        <noMultiLvlLbl val="0"/>
      </catAx>
      <valAx>
        <axId val="1"/>
        <scaling>
          <orientation val="minMax"/>
        </scaling>
        <delete val="0"/>
        <axPos val="l"/>
        <majorGridlines>
          <spPr>
            <a:ln xmlns:a="http://schemas.openxmlformats.org/drawingml/2006/main" w="3175">
              <a:solidFill>
                <a:srgbClr val="808080"/>
              </a:solidFill>
              <a:prstDash val="sysDash"/>
            </a:ln>
          </spPr>
        </majorGridlines>
        <numFmt formatCode="0" sourceLinked="0"/>
        <majorTickMark val="out"/>
        <minorTickMark val="in"/>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400" b="1" i="0" strike="noStrike" baseline="0">
                <a:solidFill>
                  <a:srgbClr val="000000"/>
                </a:solidFill>
                <a:latin typeface="Arial"/>
                <a:ea typeface="Arial"/>
                <a:cs typeface="Arial"/>
              </a:defRPr>
            </a:pPr>
            <a:r>
              <a:t/>
            </a:r>
            <a:endParaRPr lang="en-US"/>
          </a:p>
        </txPr>
        <crossAx val="576491032"/>
        <crosses val="autoZero"/>
        <crossBetween val="between"/>
        <minorUnit val="5"/>
      </valAx>
    </plotArea>
    <legend>
      <legendPos val="b"/>
      <layout>
        <manualLayout>
          <xMode val="edge"/>
          <yMode val="edge"/>
          <wMode val="factor"/>
          <hMode val="factor"/>
          <x val="0.1067853170189099"/>
          <y val="0.8743882544861338"/>
          <w val="0.8843159065628476"/>
          <h val="0.1125611745513866"/>
        </manualLayout>
      </layout>
      <overlay val="0"/>
      <spPr>
        <a:solidFill xmlns:a="http://schemas.openxmlformats.org/drawingml/2006/main">
          <a:srgbClr val="FFFFFF"/>
        </a:solidFill>
        <a:ln xmlns:a="http://schemas.openxmlformats.org/drawingml/2006/main" w="25400">
          <a:noFill/>
          <a:prstDash val="solid"/>
        </a:ln>
      </spPr>
      <txPr>
        <a:bodyPr xmlns:a="http://schemas.openxmlformats.org/drawingml/2006/main"/>
        <a:lstStyle xmlns:a="http://schemas.openxmlformats.org/drawingml/2006/main"/>
        <a:p xmlns:a="http://schemas.openxmlformats.org/drawingml/2006/main">
          <a:pPr>
            <a:defRPr sz="1470" b="0" i="0" strike="noStrike" baseline="0">
              <a:solidFill>
                <a:srgbClr val="000000"/>
              </a:solidFill>
              <a:latin typeface="Arial"/>
              <a:ea typeface="Arial"/>
              <a:cs typeface="Arial"/>
            </a:defRPr>
          </a:pPr>
          <a:r>
            <a:t/>
          </a:r>
          <a:endParaRPr lang="en-US"/>
        </a:p>
      </txPr>
    </legend>
    <plotVisOnly val="1"/>
    <dispBlanksAs val="gap"/>
  </chart>
  <spPr>
    <a:noFill xmlns:a="http://schemas.openxmlformats.org/drawingml/2006/main"/>
    <a:ln xmlns:a="http://schemas.openxmlformats.org/drawingml/2006/main" w="6350">
      <a:noFill/>
      <a:prstDash val="solid"/>
    </a:ln>
  </spPr>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b="1" i="0" strike="noStrike" baseline="0">
                <a:solidFill>
                  <a:srgbClr val="000000"/>
                </a:solidFill>
                <a:latin typeface="Arial"/>
                <a:ea typeface="Arial"/>
                <a:cs typeface="Arial"/>
              </a:defRPr>
            </a:pPr>
            <a:r>
              <a:rPr lang="en-US"/>
              <a:t>Figure B20-3. HERS BESTEST Tier-1 Example Results – Delta Annual or Seasonal Heating Load (L110AC - L202AC), Colorado Springs, CO</a:t>
            </a:r>
          </a:p>
        </rich>
      </tx>
      <layout>
        <manualLayout>
          <xMode val="edge"/>
          <yMode val="edge"/>
          <wMode val="factor"/>
          <hMode val="factor"/>
          <x val="0.1134593993325918"/>
          <y val="0"/>
        </manualLayout>
      </layout>
      <overlay val="0"/>
      <spPr>
        <a:noFill xmlns:a="http://schemas.openxmlformats.org/drawingml/2006/main"/>
        <a:ln xmlns:a="http://schemas.openxmlformats.org/drawingml/2006/main" w="25400">
          <a:noFill/>
          <a:prstDash val="solid"/>
        </a:ln>
      </spPr>
    </title>
    <plotArea>
      <layout>
        <manualLayout>
          <layoutTarget val="inner"/>
          <xMode val="edge"/>
          <yMode val="edge"/>
          <wMode val="factor"/>
          <hMode val="factor"/>
          <x val="0.1090100111234705"/>
          <y val="0.1076672104404568"/>
          <w val="0.8787541713014461"/>
          <h val="0.7161500815660685"/>
        </manualLayout>
      </layout>
      <barChart>
        <barDir val="col"/>
        <grouping val="clustered"/>
        <varyColors val="0"/>
        <ser>
          <idx val="0"/>
          <order val="0"/>
          <tx>
            <strRef>
              <f>PlotData!$B$19</f>
              <strCache>
                <ptCount val="1"/>
                <pt idx="0">
                  <v>BLAST 3.0</v>
                </pt>
              </strCache>
            </strRef>
          </tx>
          <spPr>
            <a:pattFill xmlns:a="http://schemas.openxmlformats.org/drawingml/2006/main" prst="lgGrid">
              <a:fgClr>
                <a:srgbClr val="000000"/>
              </a:fgClr>
              <a:bgClr>
                <a:srgbClr val="FFFFFF"/>
              </a:bgClr>
            </a:pattFill>
            <a:ln xmlns:a="http://schemas.openxmlformats.org/drawingml/2006/main" w="25400">
              <a:solidFill>
                <a:srgbClr val="000000"/>
              </a:solidFill>
              <a:prstDash val="solid"/>
            </a:ln>
          </spPr>
          <invertIfNegative val="0"/>
          <cat>
            <strRef>
              <f>PlotData!$C$18:$L$18</f>
              <strCache>
                <ptCount val="10"/>
                <pt idx="0">
                  <v>L110AC-L100AC</v>
                </pt>
                <pt idx="1">
                  <v>L120AC-L100AC</v>
                </pt>
                <pt idx="2">
                  <v>L130AC-L100AC</v>
                </pt>
                <pt idx="3">
                  <v>L140AC-L100AC</v>
                </pt>
                <pt idx="4">
                  <v>L150AC-L100AC</v>
                </pt>
                <pt idx="5">
                  <v>L155AC-L150AC</v>
                </pt>
                <pt idx="6">
                  <v>L160AC-L100AC</v>
                </pt>
                <pt idx="7">
                  <v>L170AC-L100AC</v>
                </pt>
                <pt idx="8">
                  <v>L200AC-L100AC</v>
                </pt>
                <pt idx="9">
                  <v>L202AC-L200AC</v>
                </pt>
              </strCache>
            </strRef>
          </cat>
          <val>
            <numRef>
              <f>PlotData!$C$19:$L$19</f>
              <numCache>
                <formatCode>0.00</formatCode>
                <ptCount val="10"/>
                <pt idx="0">
                  <v>24.01000000000001</v>
                </pt>
                <pt idx="1">
                  <v>-11.67000000000001</v>
                </pt>
                <pt idx="2">
                  <v>-15.59000000000001</v>
                </pt>
                <pt idx="3">
                  <v>-12.79000000000001</v>
                </pt>
                <pt idx="4">
                  <v>-7.010000000000005</v>
                </pt>
                <pt idx="5">
                  <v>2.460000000000001</v>
                </pt>
                <pt idx="6">
                  <v>0.9600000000000009</v>
                </pt>
                <pt idx="7">
                  <v>11.11999999999998</v>
                </pt>
                <pt idx="8">
                  <v>72.03</v>
                </pt>
                <pt idx="9">
                  <v>3.5</v>
                </pt>
              </numCache>
            </numRef>
          </val>
        </ser>
        <ser>
          <idx val="1"/>
          <order val="1"/>
          <tx>
            <strRef>
              <f>PlotData!$B$20</f>
              <strCache>
                <ptCount val="1"/>
                <pt idx="0">
                  <v>DOE-2.1E</v>
                </pt>
              </strCache>
            </strRef>
          </tx>
          <spPr>
            <a:solidFill xmlns:a="http://schemas.openxmlformats.org/drawingml/2006/main">
              <a:srgbClr val="C0C0C0"/>
            </a:solidFill>
            <a:ln xmlns:a="http://schemas.openxmlformats.org/drawingml/2006/main" w="25400">
              <a:solidFill>
                <a:srgbClr val="000000"/>
              </a:solidFill>
              <a:prstDash val="solid"/>
            </a:ln>
          </spPr>
          <invertIfNegative val="0"/>
          <cat>
            <strRef>
              <f>PlotData!$C$18:$L$18</f>
              <strCache>
                <ptCount val="10"/>
                <pt idx="0">
                  <v>L110AC-L100AC</v>
                </pt>
                <pt idx="1">
                  <v>L120AC-L100AC</v>
                </pt>
                <pt idx="2">
                  <v>L130AC-L100AC</v>
                </pt>
                <pt idx="3">
                  <v>L140AC-L100AC</v>
                </pt>
                <pt idx="4">
                  <v>L150AC-L100AC</v>
                </pt>
                <pt idx="5">
                  <v>L155AC-L150AC</v>
                </pt>
                <pt idx="6">
                  <v>L160AC-L100AC</v>
                </pt>
                <pt idx="7">
                  <v>L170AC-L100AC</v>
                </pt>
                <pt idx="8">
                  <v>L200AC-L100AC</v>
                </pt>
                <pt idx="9">
                  <v>L202AC-L200AC</v>
                </pt>
              </strCache>
            </strRef>
          </cat>
          <val>
            <numRef>
              <f>PlotData!$C$20:$L$20</f>
              <numCache>
                <formatCode>0.00</formatCode>
                <ptCount val="10"/>
                <pt idx="0">
                  <v>23.39</v>
                </pt>
                <pt idx="1">
                  <v>-12.9</v>
                </pt>
                <pt idx="2">
                  <v>-12.16000000000001</v>
                </pt>
                <pt idx="3">
                  <v>-10.74999999999999</v>
                </pt>
                <pt idx="4">
                  <v>-8.519999999999996</v>
                </pt>
                <pt idx="5">
                  <v>2.82</v>
                </pt>
                <pt idx="6">
                  <v>0.2899999999999991</v>
                </pt>
                <pt idx="7">
                  <v>13.64999999999999</v>
                </pt>
                <pt idx="8">
                  <v>78.11999999999998</v>
                </pt>
                <pt idx="9">
                  <v>5.940000000000026</v>
                </pt>
              </numCache>
            </numRef>
          </val>
        </ser>
        <ser>
          <idx val="2"/>
          <order val="2"/>
          <tx>
            <strRef>
              <f>PlotData!$B$21</f>
              <strCache>
                <ptCount val="1"/>
                <pt idx="0">
                  <v>SRES/SUN 5.7</v>
                </pt>
              </strCache>
            </strRef>
          </tx>
          <spPr>
            <a:pattFill xmlns:a="http://schemas.openxmlformats.org/drawingml/2006/main" prst="lgCheck">
              <a:fgClr>
                <a:srgbClr val="000000"/>
              </a:fgClr>
              <a:bgClr>
                <a:srgbClr val="FFFFFF"/>
              </a:bgClr>
            </a:pattFill>
            <a:ln xmlns:a="http://schemas.openxmlformats.org/drawingml/2006/main" w="25400">
              <a:solidFill>
                <a:srgbClr val="000000"/>
              </a:solidFill>
              <a:prstDash val="solid"/>
            </a:ln>
          </spPr>
          <invertIfNegative val="0"/>
          <cat>
            <strRef>
              <f>PlotData!$C$18:$L$18</f>
              <strCache>
                <ptCount val="10"/>
                <pt idx="0">
                  <v>L110AC-L100AC</v>
                </pt>
                <pt idx="1">
                  <v>L120AC-L100AC</v>
                </pt>
                <pt idx="2">
                  <v>L130AC-L100AC</v>
                </pt>
                <pt idx="3">
                  <v>L140AC-L100AC</v>
                </pt>
                <pt idx="4">
                  <v>L150AC-L100AC</v>
                </pt>
                <pt idx="5">
                  <v>L155AC-L150AC</v>
                </pt>
                <pt idx="6">
                  <v>L160AC-L100AC</v>
                </pt>
                <pt idx="7">
                  <v>L170AC-L100AC</v>
                </pt>
                <pt idx="8">
                  <v>L200AC-L100AC</v>
                </pt>
                <pt idx="9">
                  <v>L202AC-L200AC</v>
                </pt>
              </strCache>
            </strRef>
          </cat>
          <val>
            <numRef>
              <f>PlotData!$C$21:$L$21</f>
              <numCache>
                <formatCode>0.00</formatCode>
                <ptCount val="10"/>
                <pt idx="0">
                  <v>24.14</v>
                </pt>
                <pt idx="1">
                  <v>-14.57000000000001</v>
                </pt>
                <pt idx="2">
                  <v>-22.41</v>
                </pt>
                <pt idx="3">
                  <v>-19.91</v>
                </pt>
                <pt idx="4">
                  <v>-8.359999999999985</v>
                </pt>
                <pt idx="5">
                  <v>2.869999999999976</v>
                </pt>
                <pt idx="6">
                  <v>1.11999999999999</v>
                </pt>
                <pt idx="7">
                  <v>13.06999999999999</v>
                </pt>
                <pt idx="8">
                  <v>95.95</v>
                </pt>
                <pt idx="9">
                  <v>4.210000000000008</v>
                </pt>
              </numCache>
            </numRef>
          </val>
        </ser>
        <ser>
          <idx val="3"/>
          <order val="3"/>
          <tx>
            <strRef>
              <f>PlotData!$B$22</f>
              <strCache>
                <ptCount val="1"/>
                <pt idx="0">
                  <v>Tested Software 1.0</v>
                </pt>
              </strCache>
            </strRef>
          </tx>
          <spPr>
            <a:solidFill xmlns:a="http://schemas.openxmlformats.org/drawingml/2006/main">
              <a:srgbClr val="FF0000"/>
            </a:solidFill>
            <a:ln xmlns:a="http://schemas.openxmlformats.org/drawingml/2006/main" w="12700">
              <a:solidFill>
                <a:srgbClr val="000000"/>
              </a:solidFill>
              <a:prstDash val="solid"/>
            </a:ln>
          </spPr>
          <invertIfNegative val="0"/>
          <cat>
            <strRef>
              <f>PlotData!$C$18:$L$18</f>
              <strCache>
                <ptCount val="10"/>
                <pt idx="0">
                  <v>L110AC-L100AC</v>
                </pt>
                <pt idx="1">
                  <v>L120AC-L100AC</v>
                </pt>
                <pt idx="2">
                  <v>L130AC-L100AC</v>
                </pt>
                <pt idx="3">
                  <v>L140AC-L100AC</v>
                </pt>
                <pt idx="4">
                  <v>L150AC-L100AC</v>
                </pt>
                <pt idx="5">
                  <v>L155AC-L150AC</v>
                </pt>
                <pt idx="6">
                  <v>L160AC-L100AC</v>
                </pt>
                <pt idx="7">
                  <v>L170AC-L100AC</v>
                </pt>
                <pt idx="8">
                  <v>L200AC-L100AC</v>
                </pt>
                <pt idx="9">
                  <v>L202AC-L200AC</v>
                </pt>
              </strCache>
            </strRef>
          </cat>
          <val>
            <numRef>
              <f>PlotData!$C$22:$L$22</f>
              <numCache>
                <formatCode>0.00</formatCode>
                <ptCount val="10"/>
                <pt idx="0">
                  <v>23.84666666666666</v>
                </pt>
                <pt idx="1">
                  <v>-13.04666666666667</v>
                </pt>
                <pt idx="2">
                  <v>-16.72000000000001</v>
                </pt>
                <pt idx="3">
                  <v>-14.48333333333333</v>
                </pt>
                <pt idx="4">
                  <v>-7.963333333333331</v>
                </pt>
                <pt idx="5">
                  <v>2.716666666666654</v>
                </pt>
                <pt idx="6">
                  <v>0.789999999999992</v>
                </pt>
                <pt idx="7">
                  <v>12.61333333333332</v>
                </pt>
                <pt idx="8">
                  <v>82.03333333333332</v>
                </pt>
                <pt idx="9">
                  <v>4.550000000000011</v>
                </pt>
              </numCache>
            </numRef>
          </val>
        </ser>
        <dLbls>
          <showLegendKey val="0"/>
          <showVal val="0"/>
          <showCatName val="0"/>
          <showSerName val="0"/>
          <showPercent val="0"/>
          <showBubbleSize val="0"/>
        </dLbls>
        <gapWidth val="150"/>
        <axId val="576489232"/>
        <axId val="1"/>
      </barChart>
      <catAx>
        <axId val="576489232"/>
        <scaling>
          <orientation val="minMax"/>
        </scaling>
        <delete val="0"/>
        <axPos val="b"/>
        <numFmt formatCode="General" sourceLinked="1"/>
        <majorTickMark val="out"/>
        <minorTickMark val="none"/>
        <tickLblPos val="low"/>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200" b="1" i="0" strike="noStrike" baseline="0">
                <a:solidFill>
                  <a:srgbClr val="000000"/>
                </a:solidFill>
                <a:latin typeface="Arial"/>
                <a:ea typeface="Arial"/>
                <a:cs typeface="Arial"/>
              </a:defRPr>
            </a:pPr>
            <a:r>
              <a:t/>
            </a:r>
            <a:endParaRPr lang="en-US"/>
          </a:p>
        </txPr>
        <crossAx val="1"/>
        <crosses val="autoZero"/>
        <auto val="1"/>
        <lblAlgn val="ctr"/>
        <lblOffset val="100"/>
        <tickLblSkip val="1"/>
        <tickMarkSkip val="1"/>
        <noMultiLvlLbl val="0"/>
      </catAx>
      <valAx>
        <axId val="1"/>
        <scaling>
          <orientation val="minMax"/>
        </scaling>
        <delete val="0"/>
        <axPos val="l"/>
        <majorGridlines>
          <spPr>
            <a:ln xmlns:a="http://schemas.openxmlformats.org/drawingml/2006/main" w="3175">
              <a:solidFill>
                <a:srgbClr val="808080"/>
              </a:solidFill>
              <a:prstDash val="sysDash"/>
            </a:ln>
          </spPr>
        </majorGridlines>
        <numFmt formatCode="0" sourceLinked="0"/>
        <majorTickMark val="out"/>
        <minorTickMark val="in"/>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575" b="1" i="0" strike="noStrike" baseline="0">
                <a:solidFill>
                  <a:srgbClr val="000000"/>
                </a:solidFill>
                <a:latin typeface="Arial"/>
                <a:ea typeface="Arial"/>
                <a:cs typeface="Arial"/>
              </a:defRPr>
            </a:pPr>
            <a:r>
              <a:t/>
            </a:r>
            <a:endParaRPr lang="en-US"/>
          </a:p>
        </txPr>
        <crossAx val="576489232"/>
        <crosses val="autoZero"/>
        <crossBetween val="between"/>
        <minorUnit val="5"/>
      </valAx>
    </plotArea>
    <legend>
      <legendPos val="b"/>
      <layout>
        <manualLayout>
          <xMode val="edge"/>
          <yMode val="edge"/>
          <wMode val="factor"/>
          <hMode val="factor"/>
          <x val="0.1045606229143493"/>
          <y val="0.933115823817292"/>
          <w val="0.8932146829810901"/>
          <h val="0.06851549755301795"/>
        </manualLayout>
      </layout>
      <overlay val="0"/>
      <spPr>
        <a:solidFill xmlns:a="http://schemas.openxmlformats.org/drawingml/2006/main">
          <a:srgbClr val="FFFFFF"/>
        </a:solidFill>
        <a:ln xmlns:a="http://schemas.openxmlformats.org/drawingml/2006/main" w="25400">
          <a:noFill/>
          <a:prstDash val="solid"/>
        </a:ln>
      </spPr>
      <txPr>
        <a:bodyPr xmlns:a="http://schemas.openxmlformats.org/drawingml/2006/main"/>
        <a:lstStyle xmlns:a="http://schemas.openxmlformats.org/drawingml/2006/main"/>
        <a:p xmlns:a="http://schemas.openxmlformats.org/drawingml/2006/main">
          <a:pPr>
            <a:defRPr sz="1655" b="0" i="0" strike="noStrike" baseline="0">
              <a:solidFill>
                <a:srgbClr val="000000"/>
              </a:solidFill>
              <a:latin typeface="Arial"/>
              <a:ea typeface="Arial"/>
              <a:cs typeface="Arial"/>
            </a:defRPr>
          </a:pPr>
          <a:r>
            <a:t/>
          </a:r>
          <a:endParaRPr lang="en-US"/>
        </a:p>
      </txPr>
    </legend>
    <plotVisOnly val="1"/>
    <dispBlanksAs val="gap"/>
  </chart>
  <spPr>
    <a:noFill xmlns:a="http://schemas.openxmlformats.org/drawingml/2006/main"/>
    <a:ln xmlns:a="http://schemas.openxmlformats.org/drawingml/2006/main" w="6350">
      <a:noFill/>
      <a:prstDash val="solid"/>
    </a:ln>
  </spPr>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b="1" i="0" strike="noStrike" baseline="0">
                <a:solidFill>
                  <a:srgbClr val="000000"/>
                </a:solidFill>
                <a:latin typeface="Arial"/>
                <a:ea typeface="Arial"/>
                <a:cs typeface="Arial"/>
              </a:defRPr>
            </a:pPr>
            <a:r>
              <a:rPr lang="en-US"/>
              <a:t>Figure B20-4. HERS BESTEST Tier-1 Example Results – Delta Annual or Seasonal Heating Load (L302AB - L324AB), Colorado Springs, CO</a:t>
            </a:r>
          </a:p>
        </rich>
      </tx>
      <layout>
        <manualLayout>
          <xMode val="edge"/>
          <yMode val="edge"/>
          <wMode val="factor"/>
          <hMode val="factor"/>
          <x val="0.1145717463848721"/>
          <y val="0"/>
        </manualLayout>
      </layout>
      <overlay val="0"/>
      <spPr>
        <a:noFill xmlns:a="http://schemas.openxmlformats.org/drawingml/2006/main"/>
        <a:ln xmlns:a="http://schemas.openxmlformats.org/drawingml/2006/main" w="25400">
          <a:noFill/>
          <a:prstDash val="solid"/>
        </a:ln>
      </spPr>
    </title>
    <plotArea>
      <layout>
        <manualLayout>
          <layoutTarget val="inner"/>
          <xMode val="edge"/>
          <yMode val="edge"/>
          <wMode val="factor"/>
          <hMode val="factor"/>
          <x val="0.09232480533926585"/>
          <y val="0.135399673735726"/>
          <w val="0.8954393770856507"/>
          <h val="0.6411092985318108"/>
        </manualLayout>
      </layout>
      <barChart>
        <barDir val="col"/>
        <grouping val="clustered"/>
        <varyColors val="0"/>
        <ser>
          <idx val="0"/>
          <order val="0"/>
          <tx>
            <strRef>
              <f>PlotData!$B$25</f>
              <strCache>
                <ptCount val="1"/>
                <pt idx="0">
                  <v>BLAST 3.0, min</v>
                </pt>
              </strCache>
            </strRef>
          </tx>
          <spPr>
            <a:pattFill xmlns:a="http://schemas.openxmlformats.org/drawingml/2006/main" prst="lgGrid">
              <a:fgClr>
                <a:srgbClr val="000000"/>
              </a:fgClr>
              <a:bgClr>
                <a:srgbClr val="FFFFFF"/>
              </a:bgClr>
            </a:pattFill>
            <a:ln xmlns:a="http://schemas.openxmlformats.org/drawingml/2006/main" w="25400">
              <a:solidFill>
                <a:srgbClr val="000000"/>
              </a:solidFill>
              <a:prstDash val="solid"/>
            </a:ln>
          </spPr>
          <invertIfNegative val="0"/>
          <cat>
            <strRef>
              <f>PlotData!$C$24:$F$24</f>
              <strCache>
                <ptCount val="4"/>
                <pt idx="0">
                  <v>L302AB-L100AC</v>
                </pt>
                <pt idx="1">
                  <v>L302AB-L304AB</v>
                </pt>
                <pt idx="2">
                  <v>L322AB-L100AC</v>
                </pt>
                <pt idx="3">
                  <v>L322AB-L324AB</v>
                </pt>
              </strCache>
            </strRef>
          </cat>
          <val>
            <numRef>
              <f>PlotData!$C$25:$F$25</f>
              <numCache>
                <formatCode>0.00</formatCode>
                <ptCount val="4"/>
                <pt idx="0">
                  <v>3.29999999999999</v>
                </pt>
                <pt idx="1">
                  <v>9.649999999999991</v>
                </pt>
                <pt idx="2">
                  <v>19.88</v>
                </pt>
                <pt idx="3">
                  <v>25.23000000000002</v>
                </pt>
              </numCache>
            </numRef>
          </val>
        </ser>
        <ser>
          <idx val="1"/>
          <order val="1"/>
          <tx>
            <strRef>
              <f>PlotData!$B$26</f>
              <strCache>
                <ptCount val="1"/>
                <pt idx="0">
                  <v>BLAST 3.0, max</v>
                </pt>
              </strCache>
            </strRef>
          </tx>
          <spPr>
            <a:pattFill xmlns:a="http://schemas.openxmlformats.org/drawingml/2006/main" prst="lgGrid">
              <a:fgClr>
                <a:srgbClr val="0000FF"/>
              </a:fgClr>
              <a:bgClr>
                <a:srgbClr val="FFFFFF"/>
              </a:bgClr>
            </a:pattFill>
            <a:ln xmlns:a="http://schemas.openxmlformats.org/drawingml/2006/main" w="25400">
              <a:solidFill>
                <a:srgbClr val="000000"/>
              </a:solidFill>
              <a:prstDash val="solid"/>
            </a:ln>
          </spPr>
          <invertIfNegative val="0"/>
          <cat>
            <strRef>
              <f>PlotData!$C$24:$F$24</f>
              <strCache>
                <ptCount val="4"/>
                <pt idx="0">
                  <v>L302AB-L100AC</v>
                </pt>
                <pt idx="1">
                  <v>L302AB-L304AB</v>
                </pt>
                <pt idx="2">
                  <v>L322AB-L100AC</v>
                </pt>
                <pt idx="3">
                  <v>L322AB-L324AB</v>
                </pt>
              </strCache>
            </strRef>
          </cat>
          <val>
            <numRef>
              <f>PlotData!$C$26:$F$26</f>
              <numCache>
                <formatCode>0.00</formatCode>
                <ptCount val="4"/>
                <pt idx="0">
                  <v>8.559999999999995</v>
                </pt>
                <pt idx="1">
                  <v>10.45</v>
                </pt>
                <pt idx="2">
                  <v>30.55</v>
                </pt>
                <pt idx="3">
                  <v>27.56999999999999</v>
                </pt>
              </numCache>
            </numRef>
          </val>
        </ser>
        <ser>
          <idx val="2"/>
          <order val="2"/>
          <tx>
            <strRef>
              <f>PlotData!$B$27</f>
              <strCache>
                <ptCount val="1"/>
                <pt idx="0">
                  <v>DOE-2.1E, min</v>
                </pt>
              </strCache>
            </strRef>
          </tx>
          <spPr>
            <a:solidFill xmlns:a="http://schemas.openxmlformats.org/drawingml/2006/main">
              <a:srgbClr val="C0C0C0"/>
            </a:solidFill>
            <a:ln xmlns:a="http://schemas.openxmlformats.org/drawingml/2006/main" w="25400">
              <a:solidFill>
                <a:srgbClr val="000000"/>
              </a:solidFill>
              <a:prstDash val="solid"/>
            </a:ln>
          </spPr>
          <invertIfNegative val="0"/>
          <cat>
            <strRef>
              <f>PlotData!$C$24:$F$24</f>
              <strCache>
                <ptCount val="4"/>
                <pt idx="0">
                  <v>L302AB-L100AC</v>
                </pt>
                <pt idx="1">
                  <v>L302AB-L304AB</v>
                </pt>
                <pt idx="2">
                  <v>L322AB-L100AC</v>
                </pt>
                <pt idx="3">
                  <v>L322AB-L324AB</v>
                </pt>
              </strCache>
            </strRef>
          </cat>
          <val>
            <numRef>
              <f>PlotData!$C$27:$F$27</f>
              <numCache>
                <formatCode>0.00</formatCode>
                <ptCount val="4"/>
                <pt idx="0">
                  <v>2.119999999999983</v>
                </pt>
                <pt idx="1">
                  <v>9.999999999999986</v>
                </pt>
                <pt idx="2">
                  <v>19.72</v>
                </pt>
                <pt idx="3">
                  <v>26.01000000000001</v>
                </pt>
              </numCache>
            </numRef>
          </val>
        </ser>
        <ser>
          <idx val="3"/>
          <order val="3"/>
          <tx>
            <strRef>
              <f>PlotData!$B$28</f>
              <strCache>
                <ptCount val="1"/>
                <pt idx="0">
                  <v>DOE-2.1E, max</v>
                </pt>
              </strCache>
            </strRef>
          </tx>
          <spPr>
            <a:solidFill xmlns:a="http://schemas.openxmlformats.org/drawingml/2006/main">
              <a:srgbClr val="9999FF"/>
            </a:solidFill>
            <a:ln xmlns:a="http://schemas.openxmlformats.org/drawingml/2006/main" w="12700">
              <a:solidFill>
                <a:srgbClr val="000000"/>
              </a:solidFill>
              <a:prstDash val="solid"/>
            </a:ln>
          </spPr>
          <invertIfNegative val="0"/>
          <cat>
            <strRef>
              <f>PlotData!$C$24:$F$24</f>
              <strCache>
                <ptCount val="4"/>
                <pt idx="0">
                  <v>L302AB-L100AC</v>
                </pt>
                <pt idx="1">
                  <v>L302AB-L304AB</v>
                </pt>
                <pt idx="2">
                  <v>L322AB-L100AC</v>
                </pt>
                <pt idx="3">
                  <v>L322AB-L324AB</v>
                </pt>
              </strCache>
            </strRef>
          </cat>
          <val>
            <numRef>
              <f>PlotData!$C$28:$F$28</f>
              <numCache>
                <formatCode>0.00</formatCode>
                <ptCount val="4"/>
                <pt idx="0">
                  <v>9.439999999999998</v>
                </pt>
                <pt idx="1">
                  <v>10.79999999999999</v>
                </pt>
                <pt idx="2">
                  <v>30.25999999999999</v>
                </pt>
                <pt idx="3">
                  <v>30.99000000000001</v>
                </pt>
              </numCache>
            </numRef>
          </val>
        </ser>
        <ser>
          <idx val="4"/>
          <order val="4"/>
          <tx>
            <strRef>
              <f>PlotData!$B$29</f>
              <strCache>
                <ptCount val="1"/>
                <pt idx="0">
                  <v>SRES/SUN 5.7, min</v>
                </pt>
              </strCache>
            </strRef>
          </tx>
          <spPr>
            <a:pattFill xmlns:a="http://schemas.openxmlformats.org/drawingml/2006/main" prst="lgCheck">
              <a:fgClr>
                <a:srgbClr val="000000"/>
              </a:fgClr>
              <a:bgClr>
                <a:srgbClr val="FFFFFF"/>
              </a:bgClr>
            </a:pattFill>
            <a:ln xmlns:a="http://schemas.openxmlformats.org/drawingml/2006/main" w="12700">
              <a:solidFill>
                <a:srgbClr val="000000"/>
              </a:solidFill>
              <a:prstDash val="solid"/>
            </a:ln>
          </spPr>
          <invertIfNegative val="0"/>
          <cat>
            <strRef>
              <f>PlotData!$C$24:$F$24</f>
              <strCache>
                <ptCount val="4"/>
                <pt idx="0">
                  <v>L302AB-L100AC</v>
                </pt>
                <pt idx="1">
                  <v>L302AB-L304AB</v>
                </pt>
                <pt idx="2">
                  <v>L322AB-L100AC</v>
                </pt>
                <pt idx="3">
                  <v>L322AB-L324AB</v>
                </pt>
              </strCache>
            </strRef>
          </cat>
          <val>
            <numRef>
              <f>PlotData!$C$29:$F$29</f>
              <numCache>
                <formatCode>0.00</formatCode>
                <ptCount val="4"/>
                <pt idx="0">
                  <v>0.7099999999999937</v>
                </pt>
                <pt idx="1">
                  <v>11.51</v>
                </pt>
                <pt idx="2">
                  <v>19.71000000000001</v>
                </pt>
                <pt idx="3">
                  <v>26.8</v>
                </pt>
              </numCache>
            </numRef>
          </val>
        </ser>
        <ser>
          <idx val="5"/>
          <order val="5"/>
          <tx>
            <strRef>
              <f>PlotData!$B$30</f>
              <strCache>
                <ptCount val="1"/>
                <pt idx="0">
                  <v>SRES/SUN 5.7, max</v>
                </pt>
              </strCache>
            </strRef>
          </tx>
          <spPr>
            <a:pattFill xmlns:a="http://schemas.openxmlformats.org/drawingml/2006/main" prst="lgCheck">
              <a:fgClr>
                <a:srgbClr val="0000FF"/>
              </a:fgClr>
              <a:bgClr>
                <a:srgbClr val="FFFFFF"/>
              </a:bgClr>
            </a:pattFill>
            <a:ln xmlns:a="http://schemas.openxmlformats.org/drawingml/2006/main" w="12700">
              <a:solidFill>
                <a:srgbClr val="000000"/>
              </a:solidFill>
              <a:prstDash val="solid"/>
            </a:ln>
          </spPr>
          <invertIfNegative val="0"/>
          <cat>
            <strRef>
              <f>PlotData!$C$24:$F$24</f>
              <strCache>
                <ptCount val="4"/>
                <pt idx="0">
                  <v>L302AB-L100AC</v>
                </pt>
                <pt idx="1">
                  <v>L302AB-L304AB</v>
                </pt>
                <pt idx="2">
                  <v>L322AB-L100AC</v>
                </pt>
                <pt idx="3">
                  <v>L322AB-L324AB</v>
                </pt>
              </strCache>
            </strRef>
          </cat>
          <val>
            <numRef>
              <f>PlotData!$C$30:$F$30</f>
              <numCache>
                <formatCode>0.00</formatCode>
                <ptCount val="4"/>
                <pt idx="0">
                  <v>10.53</v>
                </pt>
                <pt idx="1">
                  <v>13.76000000000001</v>
                </pt>
                <pt idx="2">
                  <v>35.28999999999998</v>
                </pt>
                <pt idx="3">
                  <v>34.20999999999998</v>
                </pt>
              </numCache>
            </numRef>
          </val>
        </ser>
        <ser>
          <idx val="6"/>
          <order val="6"/>
          <tx>
            <strRef>
              <f>PlotData!$B$31</f>
              <strCache>
                <ptCount val="1"/>
                <pt idx="0">
                  <v>Tested Software 1.0</v>
                </pt>
              </strCache>
            </strRef>
          </tx>
          <spPr>
            <a:solidFill xmlns:a="http://schemas.openxmlformats.org/drawingml/2006/main">
              <a:srgbClr val="FF0000"/>
            </a:solidFill>
            <a:ln xmlns:a="http://schemas.openxmlformats.org/drawingml/2006/main" w="12700">
              <a:solidFill>
                <a:srgbClr val="000000"/>
              </a:solidFill>
              <a:prstDash val="solid"/>
            </a:ln>
          </spPr>
          <invertIfNegative val="0"/>
          <cat>
            <strRef>
              <f>PlotData!$C$24:$F$24</f>
              <strCache>
                <ptCount val="4"/>
                <pt idx="0">
                  <v>L302AB-L100AC</v>
                </pt>
                <pt idx="1">
                  <v>L302AB-L304AB</v>
                </pt>
                <pt idx="2">
                  <v>L322AB-L100AC</v>
                </pt>
                <pt idx="3">
                  <v>L322AB-L324AB</v>
                </pt>
              </strCache>
            </strRef>
          </cat>
          <val>
            <numRef>
              <f>PlotData!$C$31:$F$31</f>
              <numCache>
                <formatCode>0.00</formatCode>
                <ptCount val="4"/>
                <pt idx="0">
                  <v>9.510000000000005</v>
                </pt>
                <pt idx="1">
                  <v>11.66999999999999</v>
                </pt>
                <pt idx="2">
                  <v>31.17333333333332</v>
                </pt>
                <pt idx="3">
                  <v>29.08333333333331</v>
                </pt>
              </numCache>
            </numRef>
          </val>
        </ser>
        <dLbls>
          <showLegendKey val="0"/>
          <showVal val="0"/>
          <showCatName val="0"/>
          <showSerName val="0"/>
          <showPercent val="0"/>
          <showBubbleSize val="0"/>
        </dLbls>
        <gapWidth val="150"/>
        <axId val="576469072"/>
        <axId val="1"/>
      </barChart>
      <catAx>
        <axId val="576469072"/>
        <scaling>
          <orientation val="minMax"/>
        </scaling>
        <delete val="0"/>
        <axPos val="b"/>
        <numFmt formatCode="General" sourceLinked="1"/>
        <majorTickMark val="out"/>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600" b="1" i="0" strike="noStrike" baseline="0">
                <a:solidFill>
                  <a:srgbClr val="000000"/>
                </a:solidFill>
                <a:latin typeface="Arial"/>
                <a:ea typeface="Arial"/>
                <a:cs typeface="Arial"/>
              </a:defRPr>
            </a:pPr>
            <a:r>
              <a:t/>
            </a:r>
            <a:endParaRPr lang="en-US"/>
          </a:p>
        </txPr>
        <crossAx val="1"/>
        <crosses val="autoZero"/>
        <auto val="1"/>
        <lblAlgn val="ctr"/>
        <lblOffset val="100"/>
        <tickLblSkip val="1"/>
        <tickMarkSkip val="1"/>
        <noMultiLvlLbl val="0"/>
      </catAx>
      <valAx>
        <axId val="1"/>
        <scaling>
          <orientation val="minMax"/>
        </scaling>
        <delete val="0"/>
        <axPos val="l"/>
        <majorGridlines>
          <spPr>
            <a:ln xmlns:a="http://schemas.openxmlformats.org/drawingml/2006/main" w="3175">
              <a:solidFill>
                <a:srgbClr val="808080"/>
              </a:solidFill>
              <a:prstDash val="sysDash"/>
            </a:ln>
          </spPr>
        </majorGridlines>
        <numFmt formatCode="0" sourceLinked="0"/>
        <majorTickMark val="out"/>
        <minorTickMark val="in"/>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400" b="1" i="0" strike="noStrike" baseline="0">
                <a:solidFill>
                  <a:srgbClr val="000000"/>
                </a:solidFill>
                <a:latin typeface="Arial"/>
                <a:ea typeface="Arial"/>
                <a:cs typeface="Arial"/>
              </a:defRPr>
            </a:pPr>
            <a:r>
              <a:t/>
            </a:r>
            <a:endParaRPr lang="en-US"/>
          </a:p>
        </txPr>
        <crossAx val="576469072"/>
        <crosses val="autoZero"/>
        <crossBetween val="between"/>
        <minorUnit val="5"/>
      </valAx>
    </plotArea>
    <legend>
      <legendPos val="b"/>
      <layout>
        <manualLayout>
          <xMode val="edge"/>
          <yMode val="edge"/>
          <wMode val="factor"/>
          <hMode val="factor"/>
          <x val="0.1012235817575083"/>
          <y val="0.8743882544861338"/>
          <w val="0.8843159065628476"/>
          <h val="0.1125611745513866"/>
        </manualLayout>
      </layout>
      <overlay val="0"/>
      <spPr>
        <a:solidFill xmlns:a="http://schemas.openxmlformats.org/drawingml/2006/main">
          <a:srgbClr val="FFFFFF"/>
        </a:solidFill>
        <a:ln xmlns:a="http://schemas.openxmlformats.org/drawingml/2006/main" w="25400">
          <a:noFill/>
          <a:prstDash val="solid"/>
        </a:ln>
      </spPr>
      <txPr>
        <a:bodyPr xmlns:a="http://schemas.openxmlformats.org/drawingml/2006/main"/>
        <a:lstStyle xmlns:a="http://schemas.openxmlformats.org/drawingml/2006/main"/>
        <a:p xmlns:a="http://schemas.openxmlformats.org/drawingml/2006/main">
          <a:pPr>
            <a:defRPr sz="1470" b="0" i="0" strike="noStrike" baseline="0">
              <a:solidFill>
                <a:srgbClr val="000000"/>
              </a:solidFill>
              <a:latin typeface="Arial"/>
              <a:ea typeface="Arial"/>
              <a:cs typeface="Arial"/>
            </a:defRPr>
          </a:pPr>
          <a:r>
            <a:t/>
          </a:r>
          <a:endParaRPr lang="en-US"/>
        </a:p>
      </txPr>
    </legend>
    <plotVisOnly val="1"/>
    <dispBlanksAs val="gap"/>
  </chart>
  <spPr>
    <a:noFill xmlns:a="http://schemas.openxmlformats.org/drawingml/2006/main"/>
    <a:ln xmlns:a="http://schemas.openxmlformats.org/drawingml/2006/main" w="6350">
      <a:noFill/>
      <a:prstDash val="solid"/>
    </a:ln>
  </spPr>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b="1" i="0" strike="noStrike" baseline="0">
                <a:solidFill>
                  <a:srgbClr val="000000"/>
                </a:solidFill>
                <a:latin typeface="Arial"/>
                <a:ea typeface="Arial"/>
                <a:cs typeface="Arial"/>
              </a:defRPr>
            </a:pPr>
            <a:r>
              <a:rPr lang="en-US"/>
              <a:t>Figure B20-5. HERS BESTEST Tier-1 Example Results – Annual or Seasonal Sensible Cooling Load (L100AL – L150AL), Las Vegas, NV</a:t>
            </a:r>
          </a:p>
        </rich>
      </tx>
      <layout>
        <manualLayout>
          <xMode val="edge"/>
          <yMode val="edge"/>
          <wMode val="factor"/>
          <hMode val="factor"/>
          <x val="0.1167964404894327"/>
          <y val="0"/>
        </manualLayout>
      </layout>
      <overlay val="0"/>
      <spPr>
        <a:noFill xmlns:a="http://schemas.openxmlformats.org/drawingml/2006/main"/>
        <a:ln xmlns:a="http://schemas.openxmlformats.org/drawingml/2006/main" w="25400">
          <a:noFill/>
          <a:prstDash val="solid"/>
        </a:ln>
      </spPr>
    </title>
    <plotArea>
      <layout>
        <manualLayout>
          <layoutTarget val="inner"/>
          <xMode val="edge"/>
          <yMode val="edge"/>
          <wMode val="factor"/>
          <hMode val="factor"/>
          <x val="0.09677419354838709"/>
          <y val="0.09298531810766721"/>
          <w val="0.8909899888765295"/>
          <h val="0.7455138662316476"/>
        </manualLayout>
      </layout>
      <barChart>
        <barDir val="col"/>
        <grouping val="clustered"/>
        <varyColors val="0"/>
        <ser>
          <idx val="0"/>
          <order val="0"/>
          <tx>
            <strRef>
              <f>PlotData!$B$34</f>
              <strCache>
                <ptCount val="1"/>
                <pt idx="0">
                  <v>BLAST 3.0</v>
                </pt>
              </strCache>
            </strRef>
          </tx>
          <spPr>
            <a:pattFill xmlns:a="http://schemas.openxmlformats.org/drawingml/2006/main" prst="lgGrid">
              <a:fgClr>
                <a:srgbClr val="000000"/>
              </a:fgClr>
              <a:bgClr>
                <a:srgbClr val="FFFFFF"/>
              </a:bgClr>
            </a:pattFill>
            <a:ln xmlns:a="http://schemas.openxmlformats.org/drawingml/2006/main" w="25400">
              <a:solidFill>
                <a:srgbClr val="000000"/>
              </a:solidFill>
              <a:prstDash val="solid"/>
            </a:ln>
          </spPr>
          <invertIfNegative val="0"/>
          <cat>
            <strRef>
              <f>PlotData!$C$33:$H$33</f>
              <strCache>
                <ptCount val="6"/>
                <pt idx="0">
                  <v>L100AL</v>
                </pt>
                <pt idx="1">
                  <v>L110AL</v>
                </pt>
                <pt idx="2">
                  <v>L120AL</v>
                </pt>
                <pt idx="3">
                  <v>L130AL</v>
                </pt>
                <pt idx="4">
                  <v>L140AL</v>
                </pt>
                <pt idx="5">
                  <v>L150AL</v>
                </pt>
              </strCache>
            </strRef>
          </cat>
          <val>
            <numRef>
              <f>PlotData!$C$34:$H$34</f>
              <numCache>
                <formatCode>0.00</formatCode>
                <ptCount val="6"/>
                <pt idx="0">
                  <v>54.66</v>
                </pt>
                <pt idx="1">
                  <v>57.70999999999999</v>
                </pt>
                <pt idx="2">
                  <v>51.36</v>
                </pt>
                <pt idx="3">
                  <v>36.96</v>
                </pt>
                <pt idx="4">
                  <v>23.52</v>
                </pt>
                <pt idx="5">
                  <v>67.72999999999999</v>
                </pt>
              </numCache>
            </numRef>
          </val>
        </ser>
        <ser>
          <idx val="1"/>
          <order val="1"/>
          <tx>
            <strRef>
              <f>PlotData!$B$35</f>
              <strCache>
                <ptCount val="1"/>
                <pt idx="0">
                  <v>DOE-2.1E</v>
                </pt>
              </strCache>
            </strRef>
          </tx>
          <spPr>
            <a:solidFill xmlns:a="http://schemas.openxmlformats.org/drawingml/2006/main">
              <a:srgbClr val="C0C0C0"/>
            </a:solidFill>
            <a:ln xmlns:a="http://schemas.openxmlformats.org/drawingml/2006/main" w="25400">
              <a:solidFill>
                <a:srgbClr val="000000"/>
              </a:solidFill>
              <a:prstDash val="solid"/>
            </a:ln>
          </spPr>
          <invertIfNegative val="0"/>
          <cat>
            <strRef>
              <f>PlotData!$C$33:$H$33</f>
              <strCache>
                <ptCount val="6"/>
                <pt idx="0">
                  <v>L100AL</v>
                </pt>
                <pt idx="1">
                  <v>L110AL</v>
                </pt>
                <pt idx="2">
                  <v>L120AL</v>
                </pt>
                <pt idx="3">
                  <v>L130AL</v>
                </pt>
                <pt idx="4">
                  <v>L140AL</v>
                </pt>
                <pt idx="5">
                  <v>L150AL</v>
                </pt>
              </strCache>
            </strRef>
          </cat>
          <val>
            <numRef>
              <f>PlotData!$C$35:$H$35</f>
              <numCache>
                <formatCode>0.00</formatCode>
                <ptCount val="6"/>
                <pt idx="0">
                  <v>60.8</v>
                </pt>
                <pt idx="1">
                  <v>63.82</v>
                </pt>
                <pt idx="2">
                  <v>56.14</v>
                </pt>
                <pt idx="3">
                  <v>41.25</v>
                </pt>
                <pt idx="4">
                  <v>26.54</v>
                </pt>
                <pt idx="5">
                  <v>77.34999999999999</v>
                </pt>
              </numCache>
            </numRef>
          </val>
        </ser>
        <ser>
          <idx val="2"/>
          <order val="2"/>
          <tx>
            <strRef>
              <f>PlotData!$B$36</f>
              <strCache>
                <ptCount val="1"/>
                <pt idx="0">
                  <v>SRES/SUN 5.7</v>
                </pt>
              </strCache>
            </strRef>
          </tx>
          <spPr>
            <a:pattFill xmlns:a="http://schemas.openxmlformats.org/drawingml/2006/main" prst="lgCheck">
              <a:fgClr>
                <a:srgbClr val="000000"/>
              </a:fgClr>
              <a:bgClr>
                <a:srgbClr val="FFFFFF"/>
              </a:bgClr>
            </a:pattFill>
            <a:ln xmlns:a="http://schemas.openxmlformats.org/drawingml/2006/main" w="25400">
              <a:solidFill>
                <a:srgbClr val="000000"/>
              </a:solidFill>
              <a:prstDash val="solid"/>
            </a:ln>
          </spPr>
          <invertIfNegative val="0"/>
          <cat>
            <strRef>
              <f>PlotData!$C$33:$H$33</f>
              <strCache>
                <ptCount val="6"/>
                <pt idx="0">
                  <v>L100AL</v>
                </pt>
                <pt idx="1">
                  <v>L110AL</v>
                </pt>
                <pt idx="2">
                  <v>L120AL</v>
                </pt>
                <pt idx="3">
                  <v>L130AL</v>
                </pt>
                <pt idx="4">
                  <v>L140AL</v>
                </pt>
                <pt idx="5">
                  <v>L150AL</v>
                </pt>
              </strCache>
            </strRef>
          </cat>
          <val>
            <numRef>
              <f>PlotData!$C$36:$H$36</f>
              <numCache>
                <formatCode>0.00</formatCode>
                <ptCount val="6"/>
                <pt idx="0">
                  <v>59.32</v>
                </pt>
                <pt idx="1">
                  <v>63.18</v>
                </pt>
                <pt idx="2">
                  <v>55.01</v>
                </pt>
                <pt idx="3">
                  <v>38.93</v>
                </pt>
                <pt idx="4">
                  <v>24.64</v>
                </pt>
                <pt idx="5">
                  <v>72.03</v>
                </pt>
              </numCache>
            </numRef>
          </val>
        </ser>
        <ser>
          <idx val="3"/>
          <order val="3"/>
          <tx>
            <strRef>
              <f>PlotData!$B$37</f>
              <strCache>
                <ptCount val="1"/>
                <pt idx="0">
                  <v>Tested Software 1.0</v>
                </pt>
              </strCache>
            </strRef>
          </tx>
          <spPr>
            <a:solidFill xmlns:a="http://schemas.openxmlformats.org/drawingml/2006/main">
              <a:srgbClr val="FF0000"/>
            </a:solidFill>
            <a:ln xmlns:a="http://schemas.openxmlformats.org/drawingml/2006/main" w="12700">
              <a:solidFill>
                <a:srgbClr val="000000"/>
              </a:solidFill>
              <a:prstDash val="solid"/>
            </a:ln>
          </spPr>
          <invertIfNegative val="0"/>
          <cat>
            <strRef>
              <f>PlotData!$C$33:$H$33</f>
              <strCache>
                <ptCount val="6"/>
                <pt idx="0">
                  <v>L100AL</v>
                </pt>
                <pt idx="1">
                  <v>L110AL</v>
                </pt>
                <pt idx="2">
                  <v>L120AL</v>
                </pt>
                <pt idx="3">
                  <v>L130AL</v>
                </pt>
                <pt idx="4">
                  <v>L140AL</v>
                </pt>
                <pt idx="5">
                  <v>L150AL</v>
                </pt>
              </strCache>
            </strRef>
          </cat>
          <val>
            <numRef>
              <f>PlotData!$C$37:$H$37</f>
              <numCache>
                <formatCode>0.00</formatCode>
                <ptCount val="6"/>
                <pt idx="0">
                  <v>58.26</v>
                </pt>
                <pt idx="1">
                  <v>61.57</v>
                </pt>
                <pt idx="2">
                  <v>54.16999999999999</v>
                </pt>
                <pt idx="3">
                  <v>39.04666666666667</v>
                </pt>
                <pt idx="4">
                  <v>24.9</v>
                </pt>
                <pt idx="5">
                  <v>72.36999999999999</v>
                </pt>
              </numCache>
            </numRef>
          </val>
        </ser>
        <dLbls>
          <showLegendKey val="0"/>
          <showVal val="0"/>
          <showCatName val="0"/>
          <showSerName val="0"/>
          <showPercent val="0"/>
          <showBubbleSize val="0"/>
        </dLbls>
        <gapWidth val="150"/>
        <axId val="576473752"/>
        <axId val="1"/>
      </barChart>
      <catAx>
        <axId val="576473752"/>
        <scaling>
          <orientation val="minMax"/>
        </scaling>
        <delete val="0"/>
        <axPos val="b"/>
        <numFmt formatCode="General" sourceLinked="1"/>
        <majorTickMark val="out"/>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600" b="1" i="0" strike="noStrike" baseline="0">
                <a:solidFill>
                  <a:srgbClr val="000000"/>
                </a:solidFill>
                <a:latin typeface="Arial"/>
                <a:ea typeface="Arial"/>
                <a:cs typeface="Arial"/>
              </a:defRPr>
            </a:pPr>
            <a:r>
              <a:t/>
            </a:r>
            <a:endParaRPr lang="en-US"/>
          </a:p>
        </txPr>
        <crossAx val="1"/>
        <crosses val="autoZero"/>
        <auto val="1"/>
        <lblAlgn val="ctr"/>
        <lblOffset val="100"/>
        <tickLblSkip val="1"/>
        <tickMarkSkip val="1"/>
        <noMultiLvlLbl val="0"/>
      </catAx>
      <valAx>
        <axId val="1"/>
        <scaling>
          <orientation val="minMax"/>
        </scaling>
        <delete val="0"/>
        <axPos val="l"/>
        <majorGridlines>
          <spPr>
            <a:ln xmlns:a="http://schemas.openxmlformats.org/drawingml/2006/main" w="3175">
              <a:solidFill>
                <a:srgbClr val="808080"/>
              </a:solidFill>
              <a:prstDash val="sysDash"/>
            </a:ln>
          </spPr>
        </majorGridlines>
        <numFmt formatCode="0" sourceLinked="0"/>
        <majorTickMark val="out"/>
        <minorTickMark val="in"/>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575" b="1" i="0" strike="noStrike" baseline="0">
                <a:solidFill>
                  <a:srgbClr val="000000"/>
                </a:solidFill>
                <a:latin typeface="Arial"/>
                <a:ea typeface="Arial"/>
                <a:cs typeface="Arial"/>
              </a:defRPr>
            </a:pPr>
            <a:r>
              <a:t/>
            </a:r>
            <a:endParaRPr lang="en-US"/>
          </a:p>
        </txPr>
        <crossAx val="576473752"/>
        <crosses val="autoZero"/>
        <crossBetween val="between"/>
        <minorUnit val="5"/>
      </valAx>
    </plotArea>
    <legend>
      <legendPos val="b"/>
      <layout>
        <manualLayout>
          <xMode val="edge"/>
          <yMode val="edge"/>
          <wMode val="factor"/>
          <hMode val="factor"/>
          <x val="0.09566184649610679"/>
          <y val="0.9314845024469821"/>
          <w val="0.8932146829810901"/>
          <h val="0.06851549755301795"/>
        </manualLayout>
      </layout>
      <overlay val="0"/>
      <spPr>
        <a:solidFill xmlns:a="http://schemas.openxmlformats.org/drawingml/2006/main">
          <a:srgbClr val="FFFFFF"/>
        </a:solidFill>
        <a:ln xmlns:a="http://schemas.openxmlformats.org/drawingml/2006/main" w="25400">
          <a:noFill/>
          <a:prstDash val="solid"/>
        </a:ln>
      </spPr>
      <txPr>
        <a:bodyPr xmlns:a="http://schemas.openxmlformats.org/drawingml/2006/main"/>
        <a:lstStyle xmlns:a="http://schemas.openxmlformats.org/drawingml/2006/main"/>
        <a:p xmlns:a="http://schemas.openxmlformats.org/drawingml/2006/main">
          <a:pPr>
            <a:defRPr sz="1655" b="0" i="0" strike="noStrike" baseline="0">
              <a:solidFill>
                <a:srgbClr val="000000"/>
              </a:solidFill>
              <a:latin typeface="Arial"/>
              <a:ea typeface="Arial"/>
              <a:cs typeface="Arial"/>
            </a:defRPr>
          </a:pPr>
          <a:r>
            <a:t/>
          </a:r>
          <a:endParaRPr lang="en-US"/>
        </a:p>
      </txPr>
    </legend>
    <plotVisOnly val="1"/>
    <dispBlanksAs val="gap"/>
  </chart>
  <spPr>
    <a:noFill xmlns:a="http://schemas.openxmlformats.org/drawingml/2006/main"/>
    <a:ln xmlns:a="http://schemas.openxmlformats.org/drawingml/2006/main" w="6350">
      <a:noFill/>
      <a:prstDash val="solid"/>
    </a:ln>
  </spPr>
</chartSpace>
</file>

<file path=xl/charts/chart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b="1" i="0" strike="noStrike" baseline="0">
                <a:solidFill>
                  <a:srgbClr val="000000"/>
                </a:solidFill>
                <a:latin typeface="Arial"/>
                <a:ea typeface="Arial"/>
                <a:cs typeface="Arial"/>
              </a:defRPr>
            </a:pPr>
            <a:r>
              <a:rPr lang="en-US"/>
              <a:t>Figure B20-6. HERS BESTEST Tier-1 Example Results – Annual or Seasonal Sensible Cooling Load (L155AL – L202AL), Las Vegas, NV</a:t>
            </a:r>
          </a:p>
        </rich>
      </tx>
      <layout>
        <manualLayout>
          <xMode val="edge"/>
          <yMode val="edge"/>
          <wMode val="factor"/>
          <hMode val="factor"/>
          <x val="0.1190211345939933"/>
          <y val="0"/>
        </manualLayout>
      </layout>
      <overlay val="0"/>
      <spPr>
        <a:noFill xmlns:a="http://schemas.openxmlformats.org/drawingml/2006/main"/>
        <a:ln xmlns:a="http://schemas.openxmlformats.org/drawingml/2006/main" w="25400">
          <a:noFill/>
          <a:prstDash val="solid"/>
        </a:ln>
      </spPr>
    </title>
    <plotArea>
      <layout>
        <manualLayout>
          <layoutTarget val="inner"/>
          <xMode val="edge"/>
          <yMode val="edge"/>
          <wMode val="factor"/>
          <hMode val="factor"/>
          <x val="0.09677419354838709"/>
          <y val="0.09298531810766721"/>
          <w val="0.8909899888765295"/>
          <h val="0.7455138662316476"/>
        </manualLayout>
      </layout>
      <barChart>
        <barDir val="col"/>
        <grouping val="clustered"/>
        <varyColors val="0"/>
        <ser>
          <idx val="0"/>
          <order val="0"/>
          <tx>
            <strRef>
              <f>PlotData!$B$34</f>
              <strCache>
                <ptCount val="1"/>
                <pt idx="0">
                  <v>BLAST 3.0</v>
                </pt>
              </strCache>
            </strRef>
          </tx>
          <spPr>
            <a:pattFill xmlns:a="http://schemas.openxmlformats.org/drawingml/2006/main" prst="lgGrid">
              <a:fgClr>
                <a:srgbClr val="000000"/>
              </a:fgClr>
              <a:bgClr>
                <a:srgbClr val="FFFFFF"/>
              </a:bgClr>
            </a:pattFill>
            <a:ln xmlns:a="http://schemas.openxmlformats.org/drawingml/2006/main" w="25400">
              <a:solidFill>
                <a:srgbClr val="000000"/>
              </a:solidFill>
              <a:prstDash val="solid"/>
            </a:ln>
          </spPr>
          <invertIfNegative val="0"/>
          <cat>
            <strRef>
              <f>PlotData!$I$33:$M$33</f>
              <strCache>
                <ptCount val="5"/>
                <pt idx="0">
                  <v>L155AL</v>
                </pt>
                <pt idx="1">
                  <v>L160AL</v>
                </pt>
                <pt idx="2">
                  <v>L170AL</v>
                </pt>
                <pt idx="3">
                  <v>L200AL</v>
                </pt>
                <pt idx="4">
                  <v>L202AL</v>
                </pt>
              </strCache>
            </strRef>
          </cat>
          <val>
            <numRef>
              <f>PlotData!$I$34:$M$34</f>
              <numCache>
                <formatCode>0.00</formatCode>
                <ptCount val="5"/>
                <pt idx="0">
                  <v>54.09</v>
                </pt>
                <pt idx="1">
                  <v>62.62</v>
                </pt>
                <pt idx="2">
                  <v>45.83</v>
                </pt>
                <pt idx="3">
                  <v>65.70999999999999</v>
                </pt>
                <pt idx="4">
                  <v>59.60999999999999</v>
                </pt>
              </numCache>
            </numRef>
          </val>
        </ser>
        <ser>
          <idx val="1"/>
          <order val="1"/>
          <tx>
            <strRef>
              <f>PlotData!$B$35</f>
              <strCache>
                <ptCount val="1"/>
                <pt idx="0">
                  <v>DOE-2.1E</v>
                </pt>
              </strCache>
            </strRef>
          </tx>
          <spPr>
            <a:solidFill xmlns:a="http://schemas.openxmlformats.org/drawingml/2006/main">
              <a:srgbClr val="C0C0C0"/>
            </a:solidFill>
            <a:ln xmlns:a="http://schemas.openxmlformats.org/drawingml/2006/main" w="25400">
              <a:solidFill>
                <a:srgbClr val="000000"/>
              </a:solidFill>
              <a:prstDash val="solid"/>
            </a:ln>
          </spPr>
          <invertIfNegative val="0"/>
          <cat>
            <strRef>
              <f>PlotData!$I$33:$M$33</f>
              <strCache>
                <ptCount val="5"/>
                <pt idx="0">
                  <v>L155AL</v>
                </pt>
                <pt idx="1">
                  <v>L160AL</v>
                </pt>
                <pt idx="2">
                  <v>L170AL</v>
                </pt>
                <pt idx="3">
                  <v>L200AL</v>
                </pt>
                <pt idx="4">
                  <v>L202AL</v>
                </pt>
              </strCache>
            </strRef>
          </cat>
          <val>
            <numRef>
              <f>PlotData!$I$35:$M$35</f>
              <numCache>
                <formatCode>0.00</formatCode>
                <ptCount val="5"/>
                <pt idx="0">
                  <v>59.05999999999999</v>
                </pt>
                <pt idx="1">
                  <v>68.69</v>
                </pt>
                <pt idx="2">
                  <v>49.08</v>
                </pt>
                <pt idx="3">
                  <v>73.10000000000001</v>
                </pt>
                <pt idx="4">
                  <v>62.23999999999999</v>
                </pt>
              </numCache>
            </numRef>
          </val>
        </ser>
        <ser>
          <idx val="2"/>
          <order val="2"/>
          <tx>
            <strRef>
              <f>PlotData!$B$36</f>
              <strCache>
                <ptCount val="1"/>
                <pt idx="0">
                  <v>SRES/SUN 5.7</v>
                </pt>
              </strCache>
            </strRef>
          </tx>
          <spPr>
            <a:pattFill xmlns:a="http://schemas.openxmlformats.org/drawingml/2006/main" prst="lgCheck">
              <a:fgClr>
                <a:srgbClr val="000000"/>
              </a:fgClr>
              <a:bgClr>
                <a:srgbClr val="FFFFFF"/>
              </a:bgClr>
            </a:pattFill>
            <a:ln xmlns:a="http://schemas.openxmlformats.org/drawingml/2006/main" w="25400">
              <a:solidFill>
                <a:srgbClr val="000000"/>
              </a:solidFill>
              <a:prstDash val="solid"/>
            </a:ln>
          </spPr>
          <invertIfNegative val="0"/>
          <cat>
            <strRef>
              <f>PlotData!$I$33:$M$33</f>
              <strCache>
                <ptCount val="5"/>
                <pt idx="0">
                  <v>L155AL</v>
                </pt>
                <pt idx="1">
                  <v>L160AL</v>
                </pt>
                <pt idx="2">
                  <v>L170AL</v>
                </pt>
                <pt idx="3">
                  <v>L200AL</v>
                </pt>
                <pt idx="4">
                  <v>L202AL</v>
                </pt>
              </strCache>
            </strRef>
          </cat>
          <val>
            <numRef>
              <f>PlotData!$I$36:$M$36</f>
              <numCache>
                <formatCode>0.00</formatCode>
                <ptCount val="5"/>
                <pt idx="0">
                  <v>57.51000000000001</v>
                </pt>
                <pt idx="1">
                  <v>67.62</v>
                </pt>
                <pt idx="2">
                  <v>49.3</v>
                </pt>
                <pt idx="3">
                  <v>76.71000000000001</v>
                </pt>
                <pt idx="4">
                  <v>70.57000000000001</v>
                </pt>
              </numCache>
            </numRef>
          </val>
        </ser>
        <ser>
          <idx val="3"/>
          <order val="3"/>
          <tx>
            <strRef>
              <f>PlotData!$B$37</f>
              <strCache>
                <ptCount val="1"/>
                <pt idx="0">
                  <v>Tested Software 1.0</v>
                </pt>
              </strCache>
            </strRef>
          </tx>
          <spPr>
            <a:solidFill xmlns:a="http://schemas.openxmlformats.org/drawingml/2006/main">
              <a:srgbClr val="FF0000"/>
            </a:solidFill>
            <a:ln xmlns:a="http://schemas.openxmlformats.org/drawingml/2006/main" w="12700">
              <a:solidFill>
                <a:srgbClr val="000000"/>
              </a:solidFill>
              <a:prstDash val="solid"/>
            </a:ln>
          </spPr>
          <invertIfNegative val="0"/>
          <cat>
            <strRef>
              <f>PlotData!$I$33:$M$33</f>
              <strCache>
                <ptCount val="5"/>
                <pt idx="0">
                  <v>L155AL</v>
                </pt>
                <pt idx="1">
                  <v>L160AL</v>
                </pt>
                <pt idx="2">
                  <v>L170AL</v>
                </pt>
                <pt idx="3">
                  <v>L200AL</v>
                </pt>
                <pt idx="4">
                  <v>L202AL</v>
                </pt>
              </strCache>
            </strRef>
          </cat>
          <val>
            <numRef>
              <f>PlotData!$I$37:$M$37</f>
              <numCache>
                <formatCode>0.00</formatCode>
                <ptCount val="5"/>
                <pt idx="0">
                  <v>56.88666666666666</v>
                </pt>
                <pt idx="1">
                  <v>66.31</v>
                </pt>
                <pt idx="2">
                  <v>48.06999999999999</v>
                </pt>
                <pt idx="3">
                  <v>71.84</v>
                </pt>
                <pt idx="4">
                  <v>64.14</v>
                </pt>
              </numCache>
            </numRef>
          </val>
        </ser>
        <dLbls>
          <showLegendKey val="0"/>
          <showVal val="0"/>
          <showCatName val="0"/>
          <showSerName val="0"/>
          <showPercent val="0"/>
          <showBubbleSize val="0"/>
        </dLbls>
        <gapWidth val="150"/>
        <axId val="576473032"/>
        <axId val="1"/>
      </barChart>
      <catAx>
        <axId val="576473032"/>
        <scaling>
          <orientation val="minMax"/>
        </scaling>
        <delete val="0"/>
        <axPos val="b"/>
        <numFmt formatCode="General" sourceLinked="1"/>
        <majorTickMark val="out"/>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600" b="1" i="0" strike="noStrike" baseline="0">
                <a:solidFill>
                  <a:srgbClr val="000000"/>
                </a:solidFill>
                <a:latin typeface="Arial"/>
                <a:ea typeface="Arial"/>
                <a:cs typeface="Arial"/>
              </a:defRPr>
            </a:pPr>
            <a:r>
              <a:t/>
            </a:r>
            <a:endParaRPr lang="en-US"/>
          </a:p>
        </txPr>
        <crossAx val="1"/>
        <crosses val="autoZero"/>
        <auto val="1"/>
        <lblAlgn val="ctr"/>
        <lblOffset val="100"/>
        <tickLblSkip val="1"/>
        <tickMarkSkip val="1"/>
        <noMultiLvlLbl val="0"/>
      </catAx>
      <valAx>
        <axId val="1"/>
        <scaling>
          <orientation val="minMax"/>
        </scaling>
        <delete val="0"/>
        <axPos val="l"/>
        <majorGridlines>
          <spPr>
            <a:ln xmlns:a="http://schemas.openxmlformats.org/drawingml/2006/main" w="3175">
              <a:solidFill>
                <a:srgbClr val="808080"/>
              </a:solidFill>
              <a:prstDash val="sysDash"/>
            </a:ln>
          </spPr>
        </majorGridlines>
        <numFmt formatCode="0" sourceLinked="0"/>
        <majorTickMark val="out"/>
        <minorTickMark val="in"/>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575" b="1" i="0" strike="noStrike" baseline="0">
                <a:solidFill>
                  <a:srgbClr val="000000"/>
                </a:solidFill>
                <a:latin typeface="Arial"/>
                <a:ea typeface="Arial"/>
                <a:cs typeface="Arial"/>
              </a:defRPr>
            </a:pPr>
            <a:r>
              <a:t/>
            </a:r>
            <a:endParaRPr lang="en-US"/>
          </a:p>
        </txPr>
        <crossAx val="576473032"/>
        <crosses val="autoZero"/>
        <crossBetween val="between"/>
        <minorUnit val="5"/>
      </valAx>
    </plotArea>
    <legend>
      <legendPos val="b"/>
      <layout>
        <manualLayout>
          <xMode val="edge"/>
          <yMode val="edge"/>
          <wMode val="factor"/>
          <hMode val="factor"/>
          <x val="0.09566184649610679"/>
          <y val="0.9314845024469821"/>
          <w val="0.8932146829810901"/>
          <h val="0.06851549755301795"/>
        </manualLayout>
      </layout>
      <overlay val="0"/>
      <spPr>
        <a:solidFill xmlns:a="http://schemas.openxmlformats.org/drawingml/2006/main">
          <a:srgbClr val="FFFFFF"/>
        </a:solidFill>
        <a:ln xmlns:a="http://schemas.openxmlformats.org/drawingml/2006/main" w="25400">
          <a:noFill/>
          <a:prstDash val="solid"/>
        </a:ln>
      </spPr>
      <txPr>
        <a:bodyPr xmlns:a="http://schemas.openxmlformats.org/drawingml/2006/main"/>
        <a:lstStyle xmlns:a="http://schemas.openxmlformats.org/drawingml/2006/main"/>
        <a:p xmlns:a="http://schemas.openxmlformats.org/drawingml/2006/main">
          <a:pPr>
            <a:defRPr sz="1655" b="0" i="0" strike="noStrike" baseline="0">
              <a:solidFill>
                <a:srgbClr val="000000"/>
              </a:solidFill>
              <a:latin typeface="Arial"/>
              <a:ea typeface="Arial"/>
              <a:cs typeface="Arial"/>
            </a:defRPr>
          </a:pPr>
          <a:r>
            <a:t/>
          </a:r>
          <a:endParaRPr lang="en-US"/>
        </a:p>
      </txPr>
    </legend>
    <plotVisOnly val="1"/>
    <dispBlanksAs val="gap"/>
  </chart>
  <spPr>
    <a:noFill xmlns:a="http://schemas.openxmlformats.org/drawingml/2006/main"/>
    <a:ln xmlns:a="http://schemas.openxmlformats.org/drawingml/2006/main" w="6350">
      <a:noFill/>
      <a:prstDash val="solid"/>
    </a:ln>
  </spPr>
</chartSpace>
</file>

<file path=xl/charts/chart7.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b="1" i="0" strike="noStrike" baseline="0">
                <a:solidFill>
                  <a:srgbClr val="000000"/>
                </a:solidFill>
                <a:latin typeface="Arial"/>
                <a:ea typeface="Arial"/>
                <a:cs typeface="Arial"/>
              </a:defRPr>
            </a:pPr>
            <a:r>
              <a:rPr lang="en-US"/>
              <a:t>Figure B20-7. HERS BESTEST Tier-1 Example Results – Delta Annual or Seasonal Sensible Cooling Load (L110AL - L150AL), Las Vegas, NV</a:t>
            </a:r>
          </a:p>
        </rich>
      </tx>
      <layout>
        <manualLayout>
          <xMode val="edge"/>
          <yMode val="edge"/>
          <wMode val="factor"/>
          <hMode val="factor"/>
          <x val="0.1067853170189099"/>
          <y val="0"/>
        </manualLayout>
      </layout>
      <overlay val="0"/>
      <spPr>
        <a:noFill xmlns:a="http://schemas.openxmlformats.org/drawingml/2006/main"/>
        <a:ln xmlns:a="http://schemas.openxmlformats.org/drawingml/2006/main" w="25400">
          <a:noFill/>
          <a:prstDash val="solid"/>
        </a:ln>
      </spPr>
    </title>
    <plotArea>
      <layout>
        <manualLayout>
          <layoutTarget val="inner"/>
          <xMode val="edge"/>
          <yMode val="edge"/>
          <wMode val="factor"/>
          <hMode val="factor"/>
          <x val="0.09566184649610679"/>
          <y val="0.1076672104404568"/>
          <w val="0.8921023359288098"/>
          <h val="0.6867862969004894"/>
        </manualLayout>
      </layout>
      <barChart>
        <barDir val="col"/>
        <grouping val="clustered"/>
        <varyColors val="0"/>
        <ser>
          <idx val="0"/>
          <order val="0"/>
          <tx>
            <strRef>
              <f>PlotData!$B$40</f>
              <strCache>
                <ptCount val="1"/>
                <pt idx="0">
                  <v>BLAST 3.0</v>
                </pt>
              </strCache>
            </strRef>
          </tx>
          <spPr>
            <a:pattFill xmlns:a="http://schemas.openxmlformats.org/drawingml/2006/main" prst="lgGrid">
              <a:fgClr>
                <a:srgbClr val="000000"/>
              </a:fgClr>
              <a:bgClr>
                <a:srgbClr val="FFFFFF"/>
              </a:bgClr>
            </a:pattFill>
            <a:ln xmlns:a="http://schemas.openxmlformats.org/drawingml/2006/main" w="25400">
              <a:solidFill>
                <a:srgbClr val="000000"/>
              </a:solidFill>
              <a:prstDash val="solid"/>
            </a:ln>
          </spPr>
          <invertIfNegative val="0"/>
          <cat>
            <strRef>
              <f>PlotData!$C$39:$G$39</f>
              <strCache>
                <ptCount val="5"/>
                <pt idx="0">
                  <v>L110AL-L100AL</v>
                </pt>
                <pt idx="1">
                  <v>L120AL-L100AL</v>
                </pt>
                <pt idx="2">
                  <v>L130AL-L100AL</v>
                </pt>
                <pt idx="3">
                  <v>L140AL-L100AL</v>
                </pt>
                <pt idx="4">
                  <v>L150AL-L100AL</v>
                </pt>
              </strCache>
            </strRef>
          </cat>
          <val>
            <numRef>
              <f>PlotData!$C$40:$G$40</f>
              <numCache>
                <formatCode>General</formatCode>
                <ptCount val="5"/>
                <pt idx="0">
                  <v>3.04999999999999</v>
                </pt>
                <pt idx="1">
                  <v>-3.300000000000004</v>
                </pt>
                <pt idx="2">
                  <v>-17.7</v>
                </pt>
                <pt idx="3">
                  <v>-31.14</v>
                </pt>
                <pt idx="4">
                  <v>13.06999999999999</v>
                </pt>
              </numCache>
            </numRef>
          </val>
        </ser>
        <ser>
          <idx val="1"/>
          <order val="1"/>
          <tx>
            <strRef>
              <f>PlotData!$B$41</f>
              <strCache>
                <ptCount val="1"/>
                <pt idx="0">
                  <v>DOE-2.1E</v>
                </pt>
              </strCache>
            </strRef>
          </tx>
          <spPr>
            <a:solidFill xmlns:a="http://schemas.openxmlformats.org/drawingml/2006/main">
              <a:srgbClr val="C0C0C0"/>
            </a:solidFill>
            <a:ln xmlns:a="http://schemas.openxmlformats.org/drawingml/2006/main" w="25400">
              <a:solidFill>
                <a:srgbClr val="000000"/>
              </a:solidFill>
              <a:prstDash val="solid"/>
            </a:ln>
          </spPr>
          <invertIfNegative val="0"/>
          <cat>
            <strRef>
              <f>PlotData!$C$39:$G$39</f>
              <strCache>
                <ptCount val="5"/>
                <pt idx="0">
                  <v>L110AL-L100AL</v>
                </pt>
                <pt idx="1">
                  <v>L120AL-L100AL</v>
                </pt>
                <pt idx="2">
                  <v>L130AL-L100AL</v>
                </pt>
                <pt idx="3">
                  <v>L140AL-L100AL</v>
                </pt>
                <pt idx="4">
                  <v>L150AL-L100AL</v>
                </pt>
              </strCache>
            </strRef>
          </cat>
          <val>
            <numRef>
              <f>PlotData!$C$41:$G$41</f>
              <numCache>
                <formatCode>General</formatCode>
                <ptCount val="5"/>
                <pt idx="0">
                  <v>3.019999999999996</v>
                </pt>
                <pt idx="1">
                  <v>-4.660000000000004</v>
                </pt>
                <pt idx="2">
                  <v>-19.55</v>
                </pt>
                <pt idx="3">
                  <v>-34.26000000000001</v>
                </pt>
                <pt idx="4">
                  <v>16.54999999999999</v>
                </pt>
              </numCache>
            </numRef>
          </val>
        </ser>
        <ser>
          <idx val="2"/>
          <order val="2"/>
          <tx>
            <strRef>
              <f>PlotData!$B$42</f>
              <strCache>
                <ptCount val="1"/>
                <pt idx="0">
                  <v>SRES/SUN 5.7</v>
                </pt>
              </strCache>
            </strRef>
          </tx>
          <spPr>
            <a:pattFill xmlns:a="http://schemas.openxmlformats.org/drawingml/2006/main" prst="lgCheck">
              <a:fgClr>
                <a:srgbClr val="000000"/>
              </a:fgClr>
              <a:bgClr>
                <a:srgbClr val="FFFFFF"/>
              </a:bgClr>
            </a:pattFill>
            <a:ln xmlns:a="http://schemas.openxmlformats.org/drawingml/2006/main" w="25400">
              <a:solidFill>
                <a:srgbClr val="000000"/>
              </a:solidFill>
              <a:prstDash val="solid"/>
            </a:ln>
          </spPr>
          <invertIfNegative val="0"/>
          <cat>
            <strRef>
              <f>PlotData!$C$39:$G$39</f>
              <strCache>
                <ptCount val="5"/>
                <pt idx="0">
                  <v>L110AL-L100AL</v>
                </pt>
                <pt idx="1">
                  <v>L120AL-L100AL</v>
                </pt>
                <pt idx="2">
                  <v>L130AL-L100AL</v>
                </pt>
                <pt idx="3">
                  <v>L140AL-L100AL</v>
                </pt>
                <pt idx="4">
                  <v>L150AL-L100AL</v>
                </pt>
              </strCache>
            </strRef>
          </cat>
          <val>
            <numRef>
              <f>PlotData!$C$42:$G$42</f>
              <numCache>
                <formatCode>General</formatCode>
                <ptCount val="5"/>
                <pt idx="0">
                  <v>3.859999999999999</v>
                </pt>
                <pt idx="1">
                  <v>-4.310000000000002</v>
                </pt>
                <pt idx="2">
                  <v>-20.39</v>
                </pt>
                <pt idx="3">
                  <v>-34.68</v>
                </pt>
                <pt idx="4">
                  <v>12.71</v>
                </pt>
              </numCache>
            </numRef>
          </val>
        </ser>
        <ser>
          <idx val="3"/>
          <order val="3"/>
          <tx>
            <strRef>
              <f>PlotData!$B$43</f>
              <strCache>
                <ptCount val="1"/>
                <pt idx="0">
                  <v>Tested Software 1.0</v>
                </pt>
              </strCache>
            </strRef>
          </tx>
          <spPr>
            <a:solidFill xmlns:a="http://schemas.openxmlformats.org/drawingml/2006/main">
              <a:srgbClr val="FF0000"/>
            </a:solidFill>
            <a:ln xmlns:a="http://schemas.openxmlformats.org/drawingml/2006/main" w="12700">
              <a:solidFill>
                <a:srgbClr val="000000"/>
              </a:solidFill>
              <a:prstDash val="solid"/>
            </a:ln>
          </spPr>
          <invertIfNegative val="0"/>
          <cat>
            <strRef>
              <f>PlotData!$C$39:$G$39</f>
              <strCache>
                <ptCount val="5"/>
                <pt idx="0">
                  <v>L110AL-L100AL</v>
                </pt>
                <pt idx="1">
                  <v>L120AL-L100AL</v>
                </pt>
                <pt idx="2">
                  <v>L130AL-L100AL</v>
                </pt>
                <pt idx="3">
                  <v>L140AL-L100AL</v>
                </pt>
                <pt idx="4">
                  <v>L150AL-L100AL</v>
                </pt>
              </strCache>
            </strRef>
          </cat>
          <val>
            <numRef>
              <f>PlotData!$C$43:$G$43</f>
              <numCache>
                <formatCode>General</formatCode>
                <ptCount val="5"/>
                <pt idx="0">
                  <v>3.310000000000002</v>
                </pt>
                <pt idx="1">
                  <v>-4.090000000000003</v>
                </pt>
                <pt idx="2">
                  <v>-19.21333333333332</v>
                </pt>
                <pt idx="3">
                  <v>-33.36</v>
                </pt>
                <pt idx="4">
                  <v>14.10999999999999</v>
                </pt>
              </numCache>
            </numRef>
          </val>
        </ser>
        <dLbls>
          <showLegendKey val="0"/>
          <showVal val="0"/>
          <showCatName val="0"/>
          <showSerName val="0"/>
          <showPercent val="0"/>
          <showBubbleSize val="0"/>
        </dLbls>
        <gapWidth val="150"/>
        <axId val="577330632"/>
        <axId val="1"/>
      </barChart>
      <catAx>
        <axId val="577330632"/>
        <scaling>
          <orientation val="minMax"/>
        </scaling>
        <delete val="0"/>
        <axPos val="b"/>
        <numFmt formatCode="General" sourceLinked="1"/>
        <majorTickMark val="out"/>
        <minorTickMark val="none"/>
        <tickLblPos val="low"/>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600" b="1" i="0" strike="noStrike" baseline="0">
                <a:solidFill>
                  <a:srgbClr val="000000"/>
                </a:solidFill>
                <a:latin typeface="Arial"/>
                <a:ea typeface="Arial"/>
                <a:cs typeface="Arial"/>
              </a:defRPr>
            </a:pPr>
            <a:r>
              <a:t/>
            </a:r>
            <a:endParaRPr lang="en-US"/>
          </a:p>
        </txPr>
        <crossAx val="1"/>
        <crosses val="autoZero"/>
        <auto val="1"/>
        <lblAlgn val="ctr"/>
        <lblOffset val="100"/>
        <tickLblSkip val="1"/>
        <tickMarkSkip val="1"/>
        <noMultiLvlLbl val="0"/>
      </catAx>
      <valAx>
        <axId val="1"/>
        <scaling>
          <orientation val="minMax"/>
        </scaling>
        <delete val="0"/>
        <axPos val="l"/>
        <majorGridlines>
          <spPr>
            <a:ln xmlns:a="http://schemas.openxmlformats.org/drawingml/2006/main" w="3175">
              <a:solidFill>
                <a:srgbClr val="808080"/>
              </a:solidFill>
              <a:prstDash val="sysDash"/>
            </a:ln>
          </spPr>
        </majorGridlines>
        <numFmt formatCode="0" sourceLinked="0"/>
        <majorTickMark val="out"/>
        <minorTickMark val="in"/>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600" b="1" i="0" strike="noStrike" baseline="0">
                <a:solidFill>
                  <a:srgbClr val="000000"/>
                </a:solidFill>
                <a:latin typeface="Arial"/>
                <a:ea typeface="Arial"/>
                <a:cs typeface="Arial"/>
              </a:defRPr>
            </a:pPr>
            <a:r>
              <a:t/>
            </a:r>
            <a:endParaRPr lang="en-US"/>
          </a:p>
        </txPr>
        <crossAx val="577330632"/>
        <crosses val="autoZero"/>
        <crossBetween val="between"/>
        <minorUnit val="5"/>
      </valAx>
    </plotArea>
    <legend>
      <legendPos val="b"/>
      <layout>
        <manualLayout>
          <xMode val="edge"/>
          <yMode val="edge"/>
          <wMode val="factor"/>
          <hMode val="factor"/>
          <x val="0.07230255839822025"/>
          <y val="0.9314845024469821"/>
          <w val="0.8932146829810901"/>
          <h val="0.06851549755301795"/>
        </manualLayout>
      </layout>
      <overlay val="0"/>
      <spPr>
        <a:solidFill xmlns:a="http://schemas.openxmlformats.org/drawingml/2006/main">
          <a:srgbClr val="FFFFFF"/>
        </a:solidFill>
        <a:ln xmlns:a="http://schemas.openxmlformats.org/drawingml/2006/main" w="25400">
          <a:noFill/>
          <a:prstDash val="solid"/>
        </a:ln>
      </spPr>
      <txPr>
        <a:bodyPr xmlns:a="http://schemas.openxmlformats.org/drawingml/2006/main"/>
        <a:lstStyle xmlns:a="http://schemas.openxmlformats.org/drawingml/2006/main"/>
        <a:p xmlns:a="http://schemas.openxmlformats.org/drawingml/2006/main">
          <a:pPr>
            <a:defRPr sz="1655" b="0" i="0" strike="noStrike" baseline="0">
              <a:solidFill>
                <a:srgbClr val="000000"/>
              </a:solidFill>
              <a:latin typeface="Arial"/>
              <a:ea typeface="Arial"/>
              <a:cs typeface="Arial"/>
            </a:defRPr>
          </a:pPr>
          <a:r>
            <a:t/>
          </a:r>
          <a:endParaRPr lang="en-US"/>
        </a:p>
      </txPr>
    </legend>
    <plotVisOnly val="1"/>
    <dispBlanksAs val="gap"/>
  </chart>
  <spPr>
    <a:noFill xmlns:a="http://schemas.openxmlformats.org/drawingml/2006/main"/>
    <a:ln xmlns:a="http://schemas.openxmlformats.org/drawingml/2006/main" w="6350">
      <a:noFill/>
      <a:prstDash val="solid"/>
    </a:ln>
  </spPr>
</chartSpace>
</file>

<file path=xl/charts/chart8.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b="1" i="0" strike="noStrike" baseline="0">
                <a:solidFill>
                  <a:srgbClr val="000000"/>
                </a:solidFill>
                <a:latin typeface="Arial"/>
                <a:ea typeface="Arial"/>
                <a:cs typeface="Arial"/>
              </a:defRPr>
            </a:pPr>
            <a:r>
              <a:rPr lang="en-US"/>
              <a:t>Figure B20-8. HERS BESTEST Tier-1 Example Results – Delta Annual or Seasonal Sensible Cooling Load (L155AL - L202AL), Las Vegas, NV</a:t>
            </a:r>
          </a:p>
        </rich>
      </tx>
      <layout>
        <manualLayout>
          <xMode val="edge"/>
          <yMode val="edge"/>
          <wMode val="factor"/>
          <hMode val="factor"/>
          <x val="0.1067853170189099"/>
          <y val="0"/>
        </manualLayout>
      </layout>
      <overlay val="0"/>
      <spPr>
        <a:noFill xmlns:a="http://schemas.openxmlformats.org/drawingml/2006/main"/>
        <a:ln xmlns:a="http://schemas.openxmlformats.org/drawingml/2006/main" w="25400">
          <a:noFill/>
          <a:prstDash val="solid"/>
        </a:ln>
      </spPr>
    </title>
    <plotArea>
      <layout>
        <manualLayout>
          <layoutTarget val="inner"/>
          <xMode val="edge"/>
          <yMode val="edge"/>
          <wMode val="factor"/>
          <hMode val="factor"/>
          <x val="0.09566184649610679"/>
          <y val="0.1076672104404568"/>
          <w val="0.8921023359288098"/>
          <h val="0.6867862969004894"/>
        </manualLayout>
      </layout>
      <barChart>
        <barDir val="col"/>
        <grouping val="clustered"/>
        <varyColors val="0"/>
        <ser>
          <idx val="0"/>
          <order val="0"/>
          <tx>
            <strRef>
              <f>PlotData!$B$40</f>
              <strCache>
                <ptCount val="1"/>
                <pt idx="0">
                  <v>BLAST 3.0</v>
                </pt>
              </strCache>
            </strRef>
          </tx>
          <spPr>
            <a:pattFill xmlns:a="http://schemas.openxmlformats.org/drawingml/2006/main" prst="lgGrid">
              <a:fgClr>
                <a:srgbClr val="000000"/>
              </a:fgClr>
              <a:bgClr>
                <a:srgbClr val="FFFFFF"/>
              </a:bgClr>
            </a:pattFill>
            <a:ln xmlns:a="http://schemas.openxmlformats.org/drawingml/2006/main" w="25400">
              <a:solidFill>
                <a:srgbClr val="000000"/>
              </a:solidFill>
              <a:prstDash val="solid"/>
            </a:ln>
          </spPr>
          <invertIfNegative val="0"/>
          <cat>
            <strRef>
              <f>PlotData!$H$39:$L$39</f>
              <strCache>
                <ptCount val="5"/>
                <pt idx="0">
                  <v>L155AL-L150AL</v>
                </pt>
                <pt idx="1">
                  <v>L160AL-L100AL</v>
                </pt>
                <pt idx="2">
                  <v>L170AL-L100AL</v>
                </pt>
                <pt idx="3">
                  <v>L200AL-L100AL</v>
                </pt>
                <pt idx="4">
                  <v>L202AL-L200AL</v>
                </pt>
              </strCache>
            </strRef>
          </cat>
          <val>
            <numRef>
              <f>PlotData!$H$40:$L$40</f>
              <numCache>
                <formatCode>General</formatCode>
                <ptCount val="5"/>
                <pt idx="0">
                  <v>-13.63999999999999</v>
                </pt>
                <pt idx="1">
                  <v>7.959999999999994</v>
                </pt>
                <pt idx="2">
                  <v>-8.830000000000005</v>
                </pt>
                <pt idx="3">
                  <v>11.04999999999999</v>
                </pt>
                <pt idx="4">
                  <v>-6.100000000000001</v>
                </pt>
              </numCache>
            </numRef>
          </val>
        </ser>
        <ser>
          <idx val="1"/>
          <order val="1"/>
          <tx>
            <strRef>
              <f>PlotData!$B$41</f>
              <strCache>
                <ptCount val="1"/>
                <pt idx="0">
                  <v>DOE-2.1E</v>
                </pt>
              </strCache>
            </strRef>
          </tx>
          <spPr>
            <a:solidFill xmlns:a="http://schemas.openxmlformats.org/drawingml/2006/main">
              <a:srgbClr val="C0C0C0"/>
            </a:solidFill>
            <a:ln xmlns:a="http://schemas.openxmlformats.org/drawingml/2006/main" w="25400">
              <a:solidFill>
                <a:srgbClr val="000000"/>
              </a:solidFill>
              <a:prstDash val="solid"/>
            </a:ln>
          </spPr>
          <invertIfNegative val="0"/>
          <cat>
            <strRef>
              <f>PlotData!$H$39:$L$39</f>
              <strCache>
                <ptCount val="5"/>
                <pt idx="0">
                  <v>L155AL-L150AL</v>
                </pt>
                <pt idx="1">
                  <v>L160AL-L100AL</v>
                </pt>
                <pt idx="2">
                  <v>L170AL-L100AL</v>
                </pt>
                <pt idx="3">
                  <v>L200AL-L100AL</v>
                </pt>
                <pt idx="4">
                  <v>L202AL-L200AL</v>
                </pt>
              </strCache>
            </strRef>
          </cat>
          <val>
            <numRef>
              <f>PlotData!$H$41:$L$41</f>
              <numCache>
                <formatCode>General</formatCode>
                <ptCount val="5"/>
                <pt idx="0">
                  <v>-18.29000000000001</v>
                </pt>
                <pt idx="1">
                  <v>7.889999999999993</v>
                </pt>
                <pt idx="2">
                  <v>-11.72000000000001</v>
                </pt>
                <pt idx="3">
                  <v>12.3</v>
                </pt>
                <pt idx="4">
                  <v>-10.86000000000001</v>
                </pt>
              </numCache>
            </numRef>
          </val>
        </ser>
        <ser>
          <idx val="2"/>
          <order val="2"/>
          <tx>
            <strRef>
              <f>PlotData!$B$42</f>
              <strCache>
                <ptCount val="1"/>
                <pt idx="0">
                  <v>SRES/SUN 5.7</v>
                </pt>
              </strCache>
            </strRef>
          </tx>
          <spPr>
            <a:pattFill xmlns:a="http://schemas.openxmlformats.org/drawingml/2006/main" prst="lgCheck">
              <a:fgClr>
                <a:srgbClr val="000000"/>
              </a:fgClr>
              <a:bgClr>
                <a:srgbClr val="FFFFFF"/>
              </a:bgClr>
            </a:pattFill>
            <a:ln xmlns:a="http://schemas.openxmlformats.org/drawingml/2006/main" w="25400">
              <a:solidFill>
                <a:srgbClr val="000000"/>
              </a:solidFill>
              <a:prstDash val="solid"/>
            </a:ln>
          </spPr>
          <invertIfNegative val="0"/>
          <cat>
            <strRef>
              <f>PlotData!$H$39:$L$39</f>
              <strCache>
                <ptCount val="5"/>
                <pt idx="0">
                  <v>L155AL-L150AL</v>
                </pt>
                <pt idx="1">
                  <v>L160AL-L100AL</v>
                </pt>
                <pt idx="2">
                  <v>L170AL-L100AL</v>
                </pt>
                <pt idx="3">
                  <v>L200AL-L100AL</v>
                </pt>
                <pt idx="4">
                  <v>L202AL-L200AL</v>
                </pt>
              </strCache>
            </strRef>
          </cat>
          <val>
            <numRef>
              <f>PlotData!$H$42:$L$42</f>
              <numCache>
                <formatCode>General</formatCode>
                <ptCount val="5"/>
                <pt idx="0">
                  <v>-14.52</v>
                </pt>
                <pt idx="1">
                  <v>8.300000000000004</v>
                </pt>
                <pt idx="2">
                  <v>-10.02</v>
                </pt>
                <pt idx="3">
                  <v>17.39000000000001</v>
                </pt>
                <pt idx="4">
                  <v>-6.140000000000001</v>
                </pt>
              </numCache>
            </numRef>
          </val>
        </ser>
        <ser>
          <idx val="3"/>
          <order val="3"/>
          <tx>
            <strRef>
              <f>PlotData!$B$43</f>
              <strCache>
                <ptCount val="1"/>
                <pt idx="0">
                  <v>Tested Software 1.0</v>
                </pt>
              </strCache>
            </strRef>
          </tx>
          <spPr>
            <a:solidFill xmlns:a="http://schemas.openxmlformats.org/drawingml/2006/main">
              <a:srgbClr val="FF0000"/>
            </a:solidFill>
            <a:ln xmlns:a="http://schemas.openxmlformats.org/drawingml/2006/main" w="12700">
              <a:solidFill>
                <a:srgbClr val="000000"/>
              </a:solidFill>
              <a:prstDash val="solid"/>
            </a:ln>
          </spPr>
          <invertIfNegative val="0"/>
          <cat>
            <strRef>
              <f>PlotData!$H$39:$L$39</f>
              <strCache>
                <ptCount val="5"/>
                <pt idx="0">
                  <v>L155AL-L150AL</v>
                </pt>
                <pt idx="1">
                  <v>L160AL-L100AL</v>
                </pt>
                <pt idx="2">
                  <v>L170AL-L100AL</v>
                </pt>
                <pt idx="3">
                  <v>L200AL-L100AL</v>
                </pt>
                <pt idx="4">
                  <v>L202AL-L200AL</v>
                </pt>
              </strCache>
            </strRef>
          </cat>
          <val>
            <numRef>
              <f>PlotData!$H$43:$L$43</f>
              <numCache>
                <formatCode>General</formatCode>
                <ptCount val="5"/>
                <pt idx="0">
                  <v>-15.48333333333333</v>
                </pt>
                <pt idx="1">
                  <v>8.050000000000004</v>
                </pt>
                <pt idx="2">
                  <v>-10.19</v>
                </pt>
                <pt idx="3">
                  <v>13.58000000000001</v>
                </pt>
                <pt idx="4">
                  <v>-7.700000000000003</v>
                </pt>
              </numCache>
            </numRef>
          </val>
        </ser>
        <dLbls>
          <showLegendKey val="0"/>
          <showVal val="0"/>
          <showCatName val="0"/>
          <showSerName val="0"/>
          <showPercent val="0"/>
          <showBubbleSize val="0"/>
        </dLbls>
        <gapWidth val="150"/>
        <axId val="577326672"/>
        <axId val="1"/>
      </barChart>
      <catAx>
        <axId val="577326672"/>
        <scaling>
          <orientation val="minMax"/>
        </scaling>
        <delete val="0"/>
        <axPos val="b"/>
        <numFmt formatCode="General" sourceLinked="1"/>
        <majorTickMark val="out"/>
        <minorTickMark val="none"/>
        <tickLblPos val="low"/>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600" b="1" i="0" strike="noStrike" baseline="0">
                <a:solidFill>
                  <a:srgbClr val="000000"/>
                </a:solidFill>
                <a:latin typeface="Arial"/>
                <a:ea typeface="Arial"/>
                <a:cs typeface="Arial"/>
              </a:defRPr>
            </a:pPr>
            <a:r>
              <a:t/>
            </a:r>
            <a:endParaRPr lang="en-US"/>
          </a:p>
        </txPr>
        <crossAx val="1"/>
        <crosses val="autoZero"/>
        <auto val="1"/>
        <lblAlgn val="ctr"/>
        <lblOffset val="100"/>
        <tickLblSkip val="1"/>
        <tickMarkSkip val="1"/>
        <noMultiLvlLbl val="0"/>
      </catAx>
      <valAx>
        <axId val="1"/>
        <scaling>
          <orientation val="minMax"/>
        </scaling>
        <delete val="0"/>
        <axPos val="l"/>
        <majorGridlines>
          <spPr>
            <a:ln xmlns:a="http://schemas.openxmlformats.org/drawingml/2006/main" w="3175">
              <a:solidFill>
                <a:srgbClr val="808080"/>
              </a:solidFill>
              <a:prstDash val="sysDash"/>
            </a:ln>
          </spPr>
        </majorGridlines>
        <numFmt formatCode="0" sourceLinked="0"/>
        <majorTickMark val="out"/>
        <minorTickMark val="in"/>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600" b="1" i="0" strike="noStrike" baseline="0">
                <a:solidFill>
                  <a:srgbClr val="000000"/>
                </a:solidFill>
                <a:latin typeface="Arial"/>
                <a:ea typeface="Arial"/>
                <a:cs typeface="Arial"/>
              </a:defRPr>
            </a:pPr>
            <a:r>
              <a:t/>
            </a:r>
            <a:endParaRPr lang="en-US"/>
          </a:p>
        </txPr>
        <crossAx val="577326672"/>
        <crosses val="autoZero"/>
        <crossBetween val="between"/>
        <minorUnit val="5"/>
      </valAx>
    </plotArea>
    <legend>
      <legendPos val="b"/>
      <layout>
        <manualLayout>
          <xMode val="edge"/>
          <yMode val="edge"/>
          <wMode val="factor"/>
          <hMode val="factor"/>
          <x val="0.07230255839822025"/>
          <y val="0.9314845024469821"/>
          <w val="0.8932146829810901"/>
          <h val="0.06851549755301795"/>
        </manualLayout>
      </layout>
      <overlay val="0"/>
      <spPr>
        <a:solidFill xmlns:a="http://schemas.openxmlformats.org/drawingml/2006/main">
          <a:srgbClr val="FFFFFF"/>
        </a:solidFill>
        <a:ln xmlns:a="http://schemas.openxmlformats.org/drawingml/2006/main" w="25400">
          <a:noFill/>
          <a:prstDash val="solid"/>
        </a:ln>
      </spPr>
      <txPr>
        <a:bodyPr xmlns:a="http://schemas.openxmlformats.org/drawingml/2006/main"/>
        <a:lstStyle xmlns:a="http://schemas.openxmlformats.org/drawingml/2006/main"/>
        <a:p xmlns:a="http://schemas.openxmlformats.org/drawingml/2006/main">
          <a:pPr>
            <a:defRPr sz="1655" b="0" i="0" strike="noStrike" baseline="0">
              <a:solidFill>
                <a:srgbClr val="000000"/>
              </a:solidFill>
              <a:latin typeface="Arial"/>
              <a:ea typeface="Arial"/>
              <a:cs typeface="Arial"/>
            </a:defRPr>
          </a:pPr>
          <a:r>
            <a:t/>
          </a:r>
          <a:endParaRPr lang="en-US"/>
        </a:p>
      </txPr>
    </legend>
    <plotVisOnly val="1"/>
    <dispBlanksAs val="gap"/>
  </chart>
  <spPr>
    <a:noFill xmlns:a="http://schemas.openxmlformats.org/drawingml/2006/main"/>
    <a:ln xmlns:a="http://schemas.openxmlformats.org/drawingml/2006/main" w="6350">
      <a:noFill/>
      <a:prstDash val="solid"/>
    </a:ln>
  </spPr>
</chartSpace>
</file>

<file path=xl/charts/chart9.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b="1" i="0" strike="noStrike" baseline="0">
                <a:solidFill>
                  <a:srgbClr val="000000"/>
                </a:solidFill>
                <a:latin typeface="Arial"/>
                <a:ea typeface="Arial"/>
                <a:cs typeface="Arial"/>
              </a:defRPr>
            </a:pPr>
            <a:r>
              <a:rPr lang="en-US"/>
              <a:t>Figure B20-9. HERS BESTEST Tier-2 Example Results – Annual or Seasonal Heating Load (L165AC - P150AC), Colorado Springs, CO</a:t>
            </a:r>
          </a:p>
        </rich>
      </tx>
      <layout>
        <manualLayout>
          <xMode val="edge"/>
          <yMode val="edge"/>
          <wMode val="factor"/>
          <hMode val="factor"/>
          <x val="0.1290322580645161"/>
          <y val="0"/>
        </manualLayout>
      </layout>
      <overlay val="0"/>
      <spPr>
        <a:noFill xmlns:a="http://schemas.openxmlformats.org/drawingml/2006/main"/>
        <a:ln xmlns:a="http://schemas.openxmlformats.org/drawingml/2006/main" w="25400">
          <a:noFill/>
          <a:prstDash val="solid"/>
        </a:ln>
      </spPr>
    </title>
    <plotArea>
      <layout>
        <manualLayout>
          <layoutTarget val="inner"/>
          <xMode val="edge"/>
          <yMode val="edge"/>
          <wMode val="factor"/>
          <hMode val="factor"/>
          <x val="0.09677419354838709"/>
          <y val="0.1076672104404568"/>
          <w val="0.8909899888765295"/>
          <h val="0.7308319738988581"/>
        </manualLayout>
      </layout>
      <barChart>
        <barDir val="col"/>
        <grouping val="clustered"/>
        <varyColors val="0"/>
        <ser>
          <idx val="0"/>
          <order val="0"/>
          <tx>
            <strRef>
              <f>PlotData!$B$47</f>
              <strCache>
                <ptCount val="1"/>
                <pt idx="0">
                  <v>BLAST 3.0</v>
                </pt>
              </strCache>
            </strRef>
          </tx>
          <spPr>
            <a:pattFill xmlns:a="http://schemas.openxmlformats.org/drawingml/2006/main" prst="lgGrid">
              <a:fgClr>
                <a:srgbClr val="000000"/>
              </a:fgClr>
              <a:bgClr>
                <a:srgbClr val="FFFFFF"/>
              </a:bgClr>
            </a:pattFill>
            <a:ln xmlns:a="http://schemas.openxmlformats.org/drawingml/2006/main" w="25400">
              <a:solidFill>
                <a:srgbClr val="000000"/>
              </a:solidFill>
              <a:prstDash val="solid"/>
            </a:ln>
          </spPr>
          <invertIfNegative val="0"/>
          <cat>
            <strRef>
              <f>PlotData!$C$46:$H$46</f>
              <strCache>
                <ptCount val="6"/>
                <pt idx="0">
                  <v>L165AC</v>
                </pt>
                <pt idx="1">
                  <v>P100AC</v>
                </pt>
                <pt idx="2">
                  <v>P105AC</v>
                </pt>
                <pt idx="3">
                  <v>P110AC</v>
                </pt>
                <pt idx="4">
                  <v>P140AC</v>
                </pt>
                <pt idx="5">
                  <v>P150AC</v>
                </pt>
              </strCache>
            </strRef>
          </cat>
          <val>
            <numRef>
              <f>PlotData!$C$47:$H$47</f>
              <numCache>
                <formatCode>0.00</formatCode>
                <ptCount val="6"/>
                <pt idx="0">
                  <v>66.84</v>
                </pt>
                <pt idx="1">
                  <v>12.31</v>
                </pt>
                <pt idx="2">
                  <v>14.6</v>
                </pt>
                <pt idx="3">
                  <v>22.37</v>
                </pt>
                <pt idx="4">
                  <v>29.42</v>
                </pt>
                <pt idx="5">
                  <v>25.1</v>
                </pt>
              </numCache>
            </numRef>
          </val>
        </ser>
        <ser>
          <idx val="1"/>
          <order val="1"/>
          <tx>
            <strRef>
              <f>PlotData!$B$48</f>
              <strCache>
                <ptCount val="1"/>
                <pt idx="0">
                  <v>DOE-2.1E</v>
                </pt>
              </strCache>
            </strRef>
          </tx>
          <spPr>
            <a:solidFill xmlns:a="http://schemas.openxmlformats.org/drawingml/2006/main">
              <a:srgbClr val="C0C0C0"/>
            </a:solidFill>
            <a:ln xmlns:a="http://schemas.openxmlformats.org/drawingml/2006/main" w="25400">
              <a:solidFill>
                <a:srgbClr val="000000"/>
              </a:solidFill>
              <a:prstDash val="solid"/>
            </a:ln>
          </spPr>
          <invertIfNegative val="0"/>
          <cat>
            <strRef>
              <f>PlotData!$C$46:$H$46</f>
              <strCache>
                <ptCount val="6"/>
                <pt idx="0">
                  <v>L165AC</v>
                </pt>
                <pt idx="1">
                  <v>P100AC</v>
                </pt>
                <pt idx="2">
                  <v>P105AC</v>
                </pt>
                <pt idx="3">
                  <v>P110AC</v>
                </pt>
                <pt idx="4">
                  <v>P140AC</v>
                </pt>
                <pt idx="5">
                  <v>P150AC</v>
                </pt>
              </strCache>
            </strRef>
          </cat>
          <val>
            <numRef>
              <f>PlotData!$C$48:$H$48</f>
              <numCache>
                <formatCode>0.00</formatCode>
                <ptCount val="6"/>
                <pt idx="0">
                  <v>64.72999999999999</v>
                </pt>
                <pt idx="1">
                  <v>10.02</v>
                </pt>
                <pt idx="2">
                  <v>12.1</v>
                </pt>
                <pt idx="3">
                  <v>20.17</v>
                </pt>
                <pt idx="4">
                  <v>25.82</v>
                </pt>
                <pt idx="5">
                  <v>22.58</v>
                </pt>
              </numCache>
            </numRef>
          </val>
        </ser>
        <ser>
          <idx val="2"/>
          <order val="2"/>
          <tx>
            <strRef>
              <f>PlotData!$B$49</f>
              <strCache>
                <ptCount val="1"/>
                <pt idx="0">
                  <v>SRES/SUN 5.7</v>
                </pt>
              </strCache>
            </strRef>
          </tx>
          <spPr>
            <a:pattFill xmlns:a="http://schemas.openxmlformats.org/drawingml/2006/main" prst="lgCheck">
              <a:fgClr>
                <a:srgbClr val="000000"/>
              </a:fgClr>
              <a:bgClr>
                <a:srgbClr val="FFFFFF"/>
              </a:bgClr>
            </a:pattFill>
            <a:ln xmlns:a="http://schemas.openxmlformats.org/drawingml/2006/main" w="25400">
              <a:solidFill>
                <a:srgbClr val="000000"/>
              </a:solidFill>
              <a:prstDash val="solid"/>
            </a:ln>
          </spPr>
          <invertIfNegative val="0"/>
          <cat>
            <strRef>
              <f>PlotData!$C$46:$H$46</f>
              <strCache>
                <ptCount val="6"/>
                <pt idx="0">
                  <v>L165AC</v>
                </pt>
                <pt idx="1">
                  <v>P100AC</v>
                </pt>
                <pt idx="2">
                  <v>P105AC</v>
                </pt>
                <pt idx="3">
                  <v>P110AC</v>
                </pt>
                <pt idx="4">
                  <v>P140AC</v>
                </pt>
                <pt idx="5">
                  <v>P150AC</v>
                </pt>
              </strCache>
            </strRef>
          </cat>
          <val>
            <numRef>
              <f>PlotData!$C$49:$H$49</f>
              <numCache>
                <formatCode>0.00</formatCode>
                <ptCount val="6"/>
                <pt idx="0">
                  <v>78.05</v>
                </pt>
                <pt idx="1">
                  <v>14.4</v>
                </pt>
                <pt idx="2">
                  <v>16.96</v>
                </pt>
                <pt idx="3">
                  <v>23.78</v>
                </pt>
                <pt idx="4">
                  <v>29.42</v>
                </pt>
                <pt idx="5">
                  <v>28.01</v>
                </pt>
              </numCache>
            </numRef>
          </val>
        </ser>
        <ser>
          <idx val="3"/>
          <order val="3"/>
          <tx>
            <strRef>
              <f>PlotData!$B$50</f>
              <strCache>
                <ptCount val="1"/>
                <pt idx="0">
                  <v>Tested Software 1.0</v>
                </pt>
              </strCache>
            </strRef>
          </tx>
          <spPr>
            <a:solidFill xmlns:a="http://schemas.openxmlformats.org/drawingml/2006/main">
              <a:srgbClr val="FF0000"/>
            </a:solidFill>
            <a:ln xmlns:a="http://schemas.openxmlformats.org/drawingml/2006/main" w="12700">
              <a:solidFill>
                <a:srgbClr val="000000"/>
              </a:solidFill>
              <a:prstDash val="solid"/>
            </a:ln>
          </spPr>
          <invertIfNegative val="0"/>
          <val>
            <numRef>
              <f>PlotData!$C$50:$H$50</f>
              <numCache>
                <formatCode>0.00</formatCode>
                <ptCount val="6"/>
                <pt idx="0">
                  <v>69.87333333333333</v>
                </pt>
                <pt idx="1">
                  <v>12.24333333333333</v>
                </pt>
                <pt idx="2">
                  <v>14.55333333333333</v>
                </pt>
                <pt idx="3">
                  <v>22.10666666666667</v>
                </pt>
                <pt idx="4">
                  <v>28.22</v>
                </pt>
                <pt idx="5">
                  <v>25.23</v>
                </pt>
              </numCache>
            </numRef>
          </val>
        </ser>
        <dLbls>
          <showLegendKey val="0"/>
          <showVal val="0"/>
          <showCatName val="0"/>
          <showSerName val="0"/>
          <showPercent val="0"/>
          <showBubbleSize val="0"/>
        </dLbls>
        <gapWidth val="150"/>
        <axId val="577329552"/>
        <axId val="1"/>
      </barChart>
      <catAx>
        <axId val="577329552"/>
        <scaling>
          <orientation val="minMax"/>
        </scaling>
        <delete val="0"/>
        <axPos val="b"/>
        <numFmt formatCode="General" sourceLinked="1"/>
        <majorTickMark val="out"/>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600" b="1" i="0" strike="noStrike" baseline="0">
                <a:solidFill>
                  <a:srgbClr val="000000"/>
                </a:solidFill>
                <a:latin typeface="Arial"/>
                <a:ea typeface="Arial"/>
                <a:cs typeface="Arial"/>
              </a:defRPr>
            </a:pPr>
            <a:r>
              <a:t/>
            </a:r>
            <a:endParaRPr lang="en-US"/>
          </a:p>
        </txPr>
        <crossAx val="1"/>
        <crosses val="autoZero"/>
        <auto val="1"/>
        <lblAlgn val="ctr"/>
        <lblOffset val="100"/>
        <tickLblSkip val="1"/>
        <tickMarkSkip val="1"/>
        <noMultiLvlLbl val="0"/>
      </catAx>
      <valAx>
        <axId val="1"/>
        <scaling>
          <orientation val="minMax"/>
        </scaling>
        <delete val="0"/>
        <axPos val="l"/>
        <majorGridlines>
          <spPr>
            <a:ln xmlns:a="http://schemas.openxmlformats.org/drawingml/2006/main" w="3175">
              <a:solidFill>
                <a:srgbClr val="808080"/>
              </a:solidFill>
              <a:prstDash val="sysDash"/>
            </a:ln>
          </spPr>
        </majorGridlines>
        <numFmt formatCode="0" sourceLinked="0"/>
        <majorTickMark val="out"/>
        <minorTickMark val="in"/>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575" b="1" i="0" strike="noStrike" baseline="0">
                <a:solidFill>
                  <a:srgbClr val="000000"/>
                </a:solidFill>
                <a:latin typeface="Arial"/>
                <a:ea typeface="Arial"/>
                <a:cs typeface="Arial"/>
              </a:defRPr>
            </a:pPr>
            <a:r>
              <a:t/>
            </a:r>
            <a:endParaRPr lang="en-US"/>
          </a:p>
        </txPr>
        <crossAx val="577329552"/>
        <crosses val="autoZero"/>
        <crossBetween val="between"/>
        <minorUnit val="5"/>
      </valAx>
    </plotArea>
    <legend>
      <legendPos val="r"/>
      <layout>
        <manualLayout>
          <xMode val="edge"/>
          <yMode val="edge"/>
          <wMode val="factor"/>
          <hMode val="factor"/>
          <x val="0.09788654060066741"/>
          <y val="0.9168026101141925"/>
          <w val="0.8932146829810901"/>
          <h val="0.06851549755301795"/>
        </manualLayout>
      </layout>
      <overlay val="0"/>
      <spPr>
        <a:solidFill xmlns:a="http://schemas.openxmlformats.org/drawingml/2006/main">
          <a:srgbClr val="FFFFFF"/>
        </a:solidFill>
        <a:ln xmlns:a="http://schemas.openxmlformats.org/drawingml/2006/main" w="25400">
          <a:noFill/>
          <a:prstDash val="solid"/>
        </a:ln>
      </spPr>
      <txPr>
        <a:bodyPr xmlns:a="http://schemas.openxmlformats.org/drawingml/2006/main"/>
        <a:lstStyle xmlns:a="http://schemas.openxmlformats.org/drawingml/2006/main"/>
        <a:p xmlns:a="http://schemas.openxmlformats.org/drawingml/2006/main">
          <a:pPr>
            <a:defRPr sz="1655" b="0" i="0" strike="noStrike" baseline="0">
              <a:solidFill>
                <a:srgbClr val="000000"/>
              </a:solidFill>
              <a:latin typeface="Arial"/>
              <a:ea typeface="Arial"/>
              <a:cs typeface="Arial"/>
            </a:defRPr>
          </a:pPr>
          <a:r>
            <a:t/>
          </a:r>
          <a:endParaRPr lang="en-US"/>
        </a:p>
      </txPr>
    </legend>
    <plotVisOnly val="1"/>
    <dispBlanksAs val="gap"/>
  </chart>
  <spPr>
    <a:noFill xmlns:a="http://schemas.openxmlformats.org/drawingml/2006/main"/>
    <a:ln xmlns:a="http://schemas.openxmlformats.org/drawingml/2006/main" w="6350">
      <a:noFill/>
      <a:prstDash val="solid"/>
    </a:ln>
  </spPr>
</chartSpace>
</file>

<file path=xl/charts/chart10.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b="1" i="0" strike="noStrike" baseline="0">
                <a:solidFill>
                  <a:srgbClr val="000000"/>
                </a:solidFill>
                <a:latin typeface="Arial"/>
                <a:ea typeface="Arial"/>
                <a:cs typeface="Arial"/>
              </a:defRPr>
            </a:pPr>
            <a:r>
              <a:rPr lang="en-US"/>
              <a:t>Figure B20-10. HERS BESTEST Tier-2 Example Results – Delta Annual or Seasonal Heating Load (L165AC - P150AC), Colorado Springs, CO</a:t>
            </a:r>
          </a:p>
        </rich>
      </tx>
      <layout>
        <manualLayout>
          <xMode val="edge"/>
          <yMode val="edge"/>
          <wMode val="factor"/>
          <hMode val="factor"/>
          <x val="0.103448275862069"/>
          <y val="0"/>
        </manualLayout>
      </layout>
      <overlay val="0"/>
      <spPr>
        <a:noFill xmlns:a="http://schemas.openxmlformats.org/drawingml/2006/main"/>
        <a:ln xmlns:a="http://schemas.openxmlformats.org/drawingml/2006/main" w="25400">
          <a:noFill/>
          <a:prstDash val="solid"/>
        </a:ln>
      </spPr>
    </title>
    <plotArea>
      <layout>
        <manualLayout>
          <layoutTarget val="inner"/>
          <xMode val="edge"/>
          <yMode val="edge"/>
          <wMode val="factor"/>
          <hMode val="factor"/>
          <x val="0.09677419354838709"/>
          <y val="0.1076672104404568"/>
          <w val="0.8909899888765295"/>
          <h val="0.6867862969004894"/>
        </manualLayout>
      </layout>
      <barChart>
        <barDir val="col"/>
        <grouping val="clustered"/>
        <varyColors val="0"/>
        <ser>
          <idx val="0"/>
          <order val="0"/>
          <tx>
            <strRef>
              <f>PlotData!$B$53</f>
              <strCache>
                <ptCount val="1"/>
                <pt idx="0">
                  <v>BLAST 3.0</v>
                </pt>
              </strCache>
            </strRef>
          </tx>
          <spPr>
            <a:pattFill xmlns:a="http://schemas.openxmlformats.org/drawingml/2006/main" prst="lgGrid">
              <a:fgClr>
                <a:srgbClr val="000000"/>
              </a:fgClr>
              <a:bgClr>
                <a:srgbClr val="FFFFFF"/>
              </a:bgClr>
            </a:pattFill>
            <a:ln xmlns:a="http://schemas.openxmlformats.org/drawingml/2006/main" w="25400">
              <a:solidFill>
                <a:srgbClr val="000000"/>
              </a:solidFill>
              <a:prstDash val="solid"/>
            </a:ln>
          </spPr>
          <invertIfNegative val="0"/>
          <cat>
            <strRef>
              <f>PlotData!$C$52:$G$52</f>
              <strCache>
                <ptCount val="5"/>
                <pt idx="0">
                  <v>L165AC-L160AC</v>
                </pt>
                <pt idx="1">
                  <v>P105AC-P100AC</v>
                </pt>
                <pt idx="2">
                  <v>P110AC-P100AC</v>
                </pt>
                <pt idx="3">
                  <v>P140AC-P100AC</v>
                </pt>
                <pt idx="4">
                  <v>P150AC-P100AC</v>
                </pt>
              </strCache>
            </strRef>
          </cat>
          <val>
            <numRef>
              <f>PlotData!$C$53:$G$53</f>
              <numCache>
                <formatCode>0.00</formatCode>
                <ptCount val="5"/>
                <pt idx="0">
                  <v>3.939999999999998</v>
                </pt>
                <pt idx="1">
                  <v>2.289999999999999</v>
                </pt>
                <pt idx="2">
                  <v>10.06</v>
                </pt>
                <pt idx="3">
                  <v>17.11</v>
                </pt>
                <pt idx="4">
                  <v>12.79</v>
                </pt>
              </numCache>
            </numRef>
          </val>
        </ser>
        <ser>
          <idx val="1"/>
          <order val="1"/>
          <tx>
            <strRef>
              <f>PlotData!$B$54</f>
              <strCache>
                <ptCount val="1"/>
                <pt idx="0">
                  <v>DOE-2.1E</v>
                </pt>
              </strCache>
            </strRef>
          </tx>
          <spPr>
            <a:solidFill xmlns:a="http://schemas.openxmlformats.org/drawingml/2006/main">
              <a:srgbClr val="C0C0C0"/>
            </a:solidFill>
            <a:ln xmlns:a="http://schemas.openxmlformats.org/drawingml/2006/main" w="25400">
              <a:solidFill>
                <a:srgbClr val="000000"/>
              </a:solidFill>
              <a:prstDash val="solid"/>
            </a:ln>
          </spPr>
          <invertIfNegative val="0"/>
          <cat>
            <strRef>
              <f>PlotData!$C$52:$G$52</f>
              <strCache>
                <ptCount val="5"/>
                <pt idx="0">
                  <v>L165AC-L160AC</v>
                </pt>
                <pt idx="1">
                  <v>P105AC-P100AC</v>
                </pt>
                <pt idx="2">
                  <v>P110AC-P100AC</v>
                </pt>
                <pt idx="3">
                  <v>P140AC-P100AC</v>
                </pt>
                <pt idx="4">
                  <v>P150AC-P100AC</v>
                </pt>
              </strCache>
            </strRef>
          </cat>
          <val>
            <numRef>
              <f>PlotData!$C$54:$G$54</f>
              <numCache>
                <formatCode>0.00</formatCode>
                <ptCount val="5"/>
                <pt idx="0">
                  <v>6.439999999999991</v>
                </pt>
                <pt idx="1">
                  <v>2.079999999999998</v>
                </pt>
                <pt idx="2">
                  <v>10.15</v>
                </pt>
                <pt idx="3">
                  <v>15.8</v>
                </pt>
                <pt idx="4">
                  <v>12.56</v>
                </pt>
              </numCache>
            </numRef>
          </val>
        </ser>
        <ser>
          <idx val="2"/>
          <order val="2"/>
          <tx>
            <strRef>
              <f>PlotData!$B$55</f>
              <strCache>
                <ptCount val="1"/>
                <pt idx="0">
                  <v>SRES/SUN 5.7</v>
                </pt>
              </strCache>
            </strRef>
          </tx>
          <spPr>
            <a:pattFill xmlns:a="http://schemas.openxmlformats.org/drawingml/2006/main" prst="lgCheck">
              <a:fgClr>
                <a:srgbClr val="000000"/>
              </a:fgClr>
              <a:bgClr>
                <a:srgbClr val="FFFFFF"/>
              </a:bgClr>
            </a:pattFill>
            <a:ln xmlns:a="http://schemas.openxmlformats.org/drawingml/2006/main" w="25400">
              <a:solidFill>
                <a:srgbClr val="000000"/>
              </a:solidFill>
              <a:prstDash val="solid"/>
            </a:ln>
          </spPr>
          <invertIfNegative val="0"/>
          <cat>
            <strRef>
              <f>PlotData!$C$52:$G$52</f>
              <strCache>
                <ptCount val="5"/>
                <pt idx="0">
                  <v>L165AC-L160AC</v>
                </pt>
                <pt idx="1">
                  <v>P105AC-P100AC</v>
                </pt>
                <pt idx="2">
                  <v>P110AC-P100AC</v>
                </pt>
                <pt idx="3">
                  <v>P140AC-P100AC</v>
                </pt>
                <pt idx="4">
                  <v>P150AC-P100AC</v>
                </pt>
              </strCache>
            </strRef>
          </cat>
          <val>
            <numRef>
              <f>PlotData!$C$55:$G$55</f>
              <numCache>
                <formatCode>0.00</formatCode>
                <ptCount val="5"/>
                <pt idx="0">
                  <v>4.540000000000006</v>
                </pt>
                <pt idx="1">
                  <v>2.559999999999999</v>
                </pt>
                <pt idx="2">
                  <v>9.379999999999999</v>
                </pt>
                <pt idx="3">
                  <v>15.02</v>
                </pt>
                <pt idx="4">
                  <v>13.61</v>
                </pt>
              </numCache>
            </numRef>
          </val>
        </ser>
        <ser>
          <idx val="3"/>
          <order val="3"/>
          <tx>
            <strRef>
              <f>PlotData!$B$56</f>
              <strCache>
                <ptCount val="1"/>
                <pt idx="0">
                  <v>Tested Software 1.0</v>
                </pt>
              </strCache>
            </strRef>
          </tx>
          <spPr>
            <a:solidFill xmlns:a="http://schemas.openxmlformats.org/drawingml/2006/main">
              <a:srgbClr val="FF0000"/>
            </a:solidFill>
            <a:ln xmlns:a="http://schemas.openxmlformats.org/drawingml/2006/main" w="12700">
              <a:solidFill>
                <a:srgbClr val="000000"/>
              </a:solidFill>
              <a:prstDash val="solid"/>
            </a:ln>
          </spPr>
          <invertIfNegative val="0"/>
          <val>
            <numRef>
              <f>PlotData!$C$56:$G$56</f>
              <numCache>
                <formatCode>0.00</formatCode>
                <ptCount val="5"/>
                <pt idx="0">
                  <v>4.973333333333343</v>
                </pt>
                <pt idx="1">
                  <v>2.309999999999999</v>
                </pt>
                <pt idx="2">
                  <v>9.863333333333335</v>
                </pt>
                <pt idx="3">
                  <v>15.97666666666666</v>
                </pt>
                <pt idx="4">
                  <v>12.98666666666667</v>
                </pt>
              </numCache>
            </numRef>
          </val>
        </ser>
        <dLbls>
          <showLegendKey val="0"/>
          <showVal val="0"/>
          <showCatName val="0"/>
          <showSerName val="0"/>
          <showPercent val="0"/>
          <showBubbleSize val="0"/>
        </dLbls>
        <gapWidth val="150"/>
        <axId val="576478072"/>
        <axId val="1"/>
      </barChart>
      <catAx>
        <axId val="576478072"/>
        <scaling>
          <orientation val="minMax"/>
        </scaling>
        <delete val="0"/>
        <axPos val="b"/>
        <numFmt formatCode="General" sourceLinked="1"/>
        <majorTickMark val="out"/>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600" b="1" i="0" strike="noStrike" baseline="0">
                <a:solidFill>
                  <a:srgbClr val="000000"/>
                </a:solidFill>
                <a:latin typeface="Arial"/>
                <a:ea typeface="Arial"/>
                <a:cs typeface="Arial"/>
              </a:defRPr>
            </a:pPr>
            <a:r>
              <a:t/>
            </a:r>
            <a:endParaRPr lang="en-US"/>
          </a:p>
        </txPr>
        <crossAx val="1"/>
        <crosses val="autoZero"/>
        <auto val="1"/>
        <lblAlgn val="ctr"/>
        <lblOffset val="100"/>
        <tickLblSkip val="1"/>
        <tickMarkSkip val="1"/>
        <noMultiLvlLbl val="0"/>
      </catAx>
      <valAx>
        <axId val="1"/>
        <scaling>
          <orientation val="minMax"/>
        </scaling>
        <delete val="0"/>
        <axPos val="l"/>
        <majorGridlines>
          <spPr>
            <a:ln xmlns:a="http://schemas.openxmlformats.org/drawingml/2006/main" w="3175">
              <a:solidFill>
                <a:srgbClr val="808080"/>
              </a:solidFill>
              <a:prstDash val="sysDash"/>
            </a:ln>
          </spPr>
        </majorGridlines>
        <numFmt formatCode="0" sourceLinked="0"/>
        <majorTickMark val="out"/>
        <minorTickMark val="in"/>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575" b="1" i="0" strike="noStrike" baseline="0">
                <a:solidFill>
                  <a:srgbClr val="000000"/>
                </a:solidFill>
                <a:latin typeface="Arial"/>
                <a:ea typeface="Arial"/>
                <a:cs typeface="Arial"/>
              </a:defRPr>
            </a:pPr>
            <a:r>
              <a:t/>
            </a:r>
            <a:endParaRPr lang="en-US"/>
          </a:p>
        </txPr>
        <crossAx val="576478072"/>
        <crosses val="autoZero"/>
        <crossBetween val="between"/>
        <minorUnit val="5"/>
      </valAx>
    </plotArea>
    <legend>
      <legendPos val="b"/>
      <layout>
        <manualLayout>
          <xMode val="edge"/>
          <yMode val="edge"/>
          <wMode val="factor"/>
          <hMode val="factor"/>
          <x val="0.09899888765294772"/>
          <y val="0.9314845024469821"/>
          <w val="0.8932146829810901"/>
          <h val="0.06851549755301795"/>
        </manualLayout>
      </layout>
      <overlay val="0"/>
      <spPr>
        <a:solidFill xmlns:a="http://schemas.openxmlformats.org/drawingml/2006/main">
          <a:srgbClr val="FFFFFF"/>
        </a:solidFill>
        <a:ln xmlns:a="http://schemas.openxmlformats.org/drawingml/2006/main" w="25400">
          <a:noFill/>
          <a:prstDash val="solid"/>
        </a:ln>
      </spPr>
      <txPr>
        <a:bodyPr xmlns:a="http://schemas.openxmlformats.org/drawingml/2006/main"/>
        <a:lstStyle xmlns:a="http://schemas.openxmlformats.org/drawingml/2006/main"/>
        <a:p xmlns:a="http://schemas.openxmlformats.org/drawingml/2006/main">
          <a:pPr>
            <a:defRPr sz="1655" b="0" i="0" strike="noStrike" baseline="0">
              <a:solidFill>
                <a:srgbClr val="000000"/>
              </a:solidFill>
              <a:latin typeface="Arial"/>
              <a:ea typeface="Arial"/>
              <a:cs typeface="Arial"/>
            </a:defRPr>
          </a:pPr>
          <a:r>
            <a:t/>
          </a:r>
          <a:endParaRPr lang="en-US"/>
        </a:p>
      </txPr>
    </legend>
    <plotVisOnly val="1"/>
    <dispBlanksAs val="gap"/>
  </chart>
  <spPr>
    <a:noFill xmlns:a="http://schemas.openxmlformats.org/drawingml/2006/main"/>
    <a:ln xmlns:a="http://schemas.openxmlformats.org/drawingml/2006/main" w="6350">
      <a:noFill/>
      <a:prstDash val="solid"/>
    </a:ln>
  </spPr>
</chartSpace>
</file>

<file path=xl/charts/chart1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b="1" i="0" strike="noStrike" baseline="0">
                <a:solidFill>
                  <a:srgbClr val="000000"/>
                </a:solidFill>
                <a:latin typeface="Arial"/>
                <a:ea typeface="Arial"/>
                <a:cs typeface="Arial"/>
              </a:defRPr>
            </a:pPr>
            <a:r>
              <a:rPr lang="en-US"/>
              <a:t>Figure B20-11. HERS BESTEST Tier-2 Example Results -- Annual or Seasonal Sensible Cooling Load (L165AL – P150AC)</a:t>
            </a:r>
          </a:p>
        </rich>
      </tx>
      <layout>
        <manualLayout>
          <xMode val="edge"/>
          <yMode val="edge"/>
          <wMode val="factor"/>
          <hMode val="factor"/>
          <x val="0.1201334816462736"/>
          <y val="0"/>
        </manualLayout>
      </layout>
      <overlay val="0"/>
      <spPr>
        <a:noFill xmlns:a="http://schemas.openxmlformats.org/drawingml/2006/main"/>
        <a:ln xmlns:a="http://schemas.openxmlformats.org/drawingml/2006/main" w="25400">
          <a:noFill/>
          <a:prstDash val="solid"/>
        </a:ln>
      </spPr>
    </title>
    <plotArea>
      <layout>
        <manualLayout>
          <layoutTarget val="inner"/>
          <xMode val="edge"/>
          <yMode val="edge"/>
          <wMode val="factor"/>
          <hMode val="factor"/>
          <x val="0.09677419354838709"/>
          <y val="0.1076672104404568"/>
          <w val="0.8909899888765295"/>
          <h val="0.7308319738988581"/>
        </manualLayout>
      </layout>
      <barChart>
        <barDir val="col"/>
        <grouping val="clustered"/>
        <varyColors val="0"/>
        <ser>
          <idx val="0"/>
          <order val="0"/>
          <tx>
            <strRef>
              <f>PlotData!$B$59</f>
              <strCache>
                <ptCount val="1"/>
                <pt idx="0">
                  <v>BLAST 3.0</v>
                </pt>
              </strCache>
            </strRef>
          </tx>
          <spPr>
            <a:pattFill xmlns:a="http://schemas.openxmlformats.org/drawingml/2006/main" prst="lgGrid">
              <a:fgClr>
                <a:srgbClr val="000000"/>
              </a:fgClr>
              <a:bgClr>
                <a:srgbClr val="FFFFFF"/>
              </a:bgClr>
            </a:pattFill>
            <a:ln xmlns:a="http://schemas.openxmlformats.org/drawingml/2006/main" w="25400">
              <a:solidFill>
                <a:srgbClr val="000000"/>
              </a:solidFill>
              <a:prstDash val="solid"/>
            </a:ln>
          </spPr>
          <invertIfNegative val="0"/>
          <cat>
            <strRef>
              <f>PlotData!$C$58:$H$58</f>
              <strCache>
                <ptCount val="6"/>
                <pt idx="0">
                  <v>L165AL</v>
                </pt>
                <pt idx="1">
                  <v>P100AC</v>
                </pt>
                <pt idx="2">
                  <v>P105AC</v>
                </pt>
                <pt idx="3">
                  <v>P110AC</v>
                </pt>
                <pt idx="4">
                  <v>P140AC</v>
                </pt>
                <pt idx="5">
                  <v>P150AC</v>
                </pt>
              </strCache>
            </strRef>
          </cat>
          <val>
            <numRef>
              <f>PlotData!$C$59:$H$59</f>
              <numCache>
                <formatCode>0.00</formatCode>
                <ptCount val="6"/>
                <pt idx="0">
                  <v>54.77</v>
                </pt>
                <pt idx="1">
                  <v>18.11</v>
                </pt>
                <pt idx="2">
                  <v>11.94</v>
                </pt>
                <pt idx="3">
                  <v>30.19</v>
                </pt>
                <pt idx="4">
                  <v>1.68</v>
                </pt>
                <pt idx="5">
                  <v>12.43</v>
                </pt>
              </numCache>
            </numRef>
          </val>
        </ser>
        <ser>
          <idx val="1"/>
          <order val="1"/>
          <tx>
            <strRef>
              <f>PlotData!$B$60</f>
              <strCache>
                <ptCount val="1"/>
                <pt idx="0">
                  <v>DOE-2.1E</v>
                </pt>
              </strCache>
            </strRef>
          </tx>
          <spPr>
            <a:solidFill xmlns:a="http://schemas.openxmlformats.org/drawingml/2006/main">
              <a:srgbClr val="C0C0C0"/>
            </a:solidFill>
            <a:ln xmlns:a="http://schemas.openxmlformats.org/drawingml/2006/main" w="25400">
              <a:solidFill>
                <a:srgbClr val="000000"/>
              </a:solidFill>
              <a:prstDash val="solid"/>
            </a:ln>
          </spPr>
          <invertIfNegative val="0"/>
          <cat>
            <strRef>
              <f>PlotData!$C$58:$H$58</f>
              <strCache>
                <ptCount val="6"/>
                <pt idx="0">
                  <v>L165AL</v>
                </pt>
                <pt idx="1">
                  <v>P100AC</v>
                </pt>
                <pt idx="2">
                  <v>P105AC</v>
                </pt>
                <pt idx="3">
                  <v>P110AC</v>
                </pt>
                <pt idx="4">
                  <v>P140AC</v>
                </pt>
                <pt idx="5">
                  <v>P150AC</v>
                </pt>
              </strCache>
            </strRef>
          </cat>
          <val>
            <numRef>
              <f>PlotData!$C$60:$H$60</f>
              <numCache>
                <formatCode>0.00</formatCode>
                <ptCount val="6"/>
                <pt idx="0">
                  <v>52.87</v>
                </pt>
                <pt idx="1">
                  <v>23.01</v>
                </pt>
                <pt idx="2">
                  <v>13.61</v>
                </pt>
                <pt idx="3">
                  <v>36.48</v>
                </pt>
                <pt idx="4">
                  <v>2.84</v>
                </pt>
                <pt idx="5">
                  <v>15.03</v>
                </pt>
              </numCache>
            </numRef>
          </val>
        </ser>
        <ser>
          <idx val="2"/>
          <order val="2"/>
          <tx>
            <strRef>
              <f>PlotData!$B$61</f>
              <strCache>
                <ptCount val="1"/>
                <pt idx="0">
                  <v>SRES/SUN 5.7</v>
                </pt>
              </strCache>
            </strRef>
          </tx>
          <spPr>
            <a:pattFill xmlns:a="http://schemas.openxmlformats.org/drawingml/2006/main" prst="lgCheck">
              <a:fgClr>
                <a:srgbClr val="000000"/>
              </a:fgClr>
              <a:bgClr>
                <a:srgbClr val="FFFFFF"/>
              </a:bgClr>
            </a:pattFill>
            <a:ln xmlns:a="http://schemas.openxmlformats.org/drawingml/2006/main" w="25400">
              <a:solidFill>
                <a:srgbClr val="000000"/>
              </a:solidFill>
              <a:prstDash val="solid"/>
            </a:ln>
          </spPr>
          <invertIfNegative val="0"/>
          <cat>
            <strRef>
              <f>PlotData!$C$58:$H$58</f>
              <strCache>
                <ptCount val="6"/>
                <pt idx="0">
                  <v>L165AL</v>
                </pt>
                <pt idx="1">
                  <v>P100AC</v>
                </pt>
                <pt idx="2">
                  <v>P105AC</v>
                </pt>
                <pt idx="3">
                  <v>P110AC</v>
                </pt>
                <pt idx="4">
                  <v>P140AC</v>
                </pt>
                <pt idx="5">
                  <v>P150AC</v>
                </pt>
              </strCache>
            </strRef>
          </cat>
          <val>
            <numRef>
              <f>PlotData!$C$61:$H$61</f>
              <numCache>
                <formatCode>0.00</formatCode>
                <ptCount val="6"/>
                <pt idx="0">
                  <v>59.58</v>
                </pt>
                <pt idx="1">
                  <v>20.07</v>
                </pt>
                <pt idx="2">
                  <v>13.46</v>
                </pt>
                <pt idx="3">
                  <v>30.86</v>
                </pt>
                <pt idx="4">
                  <v>1.74</v>
                </pt>
                <pt idx="5">
                  <v>14.03</v>
                </pt>
              </numCache>
            </numRef>
          </val>
        </ser>
        <ser>
          <idx val="3"/>
          <order val="3"/>
          <tx>
            <strRef>
              <f>PlotData!$B$62</f>
              <strCache>
                <ptCount val="1"/>
                <pt idx="0">
                  <v>Tested Software 1.0</v>
                </pt>
              </strCache>
            </strRef>
          </tx>
          <spPr>
            <a:solidFill xmlns:a="http://schemas.openxmlformats.org/drawingml/2006/main">
              <a:srgbClr val="FF0000"/>
            </a:solidFill>
            <a:ln xmlns:a="http://schemas.openxmlformats.org/drawingml/2006/main" w="12700">
              <a:solidFill>
                <a:srgbClr val="000000"/>
              </a:solidFill>
              <a:prstDash val="solid"/>
            </a:ln>
          </spPr>
          <invertIfNegative val="0"/>
          <cat>
            <strRef>
              <f>PlotData!$C$58:$H$58</f>
              <strCache>
                <ptCount val="6"/>
                <pt idx="0">
                  <v>L165AL</v>
                </pt>
                <pt idx="1">
                  <v>P100AC</v>
                </pt>
                <pt idx="2">
                  <v>P105AC</v>
                </pt>
                <pt idx="3">
                  <v>P110AC</v>
                </pt>
                <pt idx="4">
                  <v>P140AC</v>
                </pt>
                <pt idx="5">
                  <v>P150AC</v>
                </pt>
              </strCache>
            </strRef>
          </cat>
          <val>
            <numRef>
              <f>PlotData!$C$62:$H$62</f>
              <numCache>
                <formatCode>0.00</formatCode>
                <ptCount val="6"/>
                <pt idx="0">
                  <v>55.74000000000001</v>
                </pt>
                <pt idx="1">
                  <v>20.39666666666666</v>
                </pt>
                <pt idx="2">
                  <v>13.00333333333334</v>
                </pt>
                <pt idx="3">
                  <v>32.51</v>
                </pt>
                <pt idx="4">
                  <v>2.086666666666666</v>
                </pt>
                <pt idx="5">
                  <v>13.83</v>
                </pt>
              </numCache>
            </numRef>
          </val>
        </ser>
        <dLbls>
          <showLegendKey val="0"/>
          <showVal val="0"/>
          <showCatName val="0"/>
          <showSerName val="0"/>
          <showPercent val="0"/>
          <showBubbleSize val="0"/>
        </dLbls>
        <gapWidth val="150"/>
        <axId val="576484552"/>
        <axId val="1"/>
      </barChart>
      <catAx>
        <axId val="576484552"/>
        <scaling>
          <orientation val="minMax"/>
        </scaling>
        <delete val="0"/>
        <axPos val="b"/>
        <numFmt formatCode="General" sourceLinked="1"/>
        <majorTickMark val="out"/>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600" b="1" i="0" strike="noStrike" baseline="0">
                <a:solidFill>
                  <a:srgbClr val="000000"/>
                </a:solidFill>
                <a:latin typeface="Arial"/>
                <a:ea typeface="Arial"/>
                <a:cs typeface="Arial"/>
              </a:defRPr>
            </a:pPr>
            <a:r>
              <a:t/>
            </a:r>
            <a:endParaRPr lang="en-US"/>
          </a:p>
        </txPr>
        <crossAx val="1"/>
        <crosses val="autoZero"/>
        <auto val="1"/>
        <lblAlgn val="ctr"/>
        <lblOffset val="100"/>
        <tickLblSkip val="1"/>
        <tickMarkSkip val="1"/>
        <noMultiLvlLbl val="0"/>
      </catAx>
      <valAx>
        <axId val="1"/>
        <scaling>
          <orientation val="minMax"/>
        </scaling>
        <delete val="0"/>
        <axPos val="l"/>
        <majorGridlines>
          <spPr>
            <a:ln xmlns:a="http://schemas.openxmlformats.org/drawingml/2006/main" w="3175">
              <a:solidFill>
                <a:srgbClr val="808080"/>
              </a:solidFill>
              <a:prstDash val="sysDash"/>
            </a:ln>
          </spPr>
        </majorGridlines>
        <numFmt formatCode="0" sourceLinked="0"/>
        <majorTickMark val="out"/>
        <minorTickMark val="in"/>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575" b="1" i="0" strike="noStrike" baseline="0">
                <a:solidFill>
                  <a:srgbClr val="000000"/>
                </a:solidFill>
                <a:latin typeface="Arial"/>
                <a:ea typeface="Arial"/>
                <a:cs typeface="Arial"/>
              </a:defRPr>
            </a:pPr>
            <a:r>
              <a:t/>
            </a:r>
            <a:endParaRPr lang="en-US"/>
          </a:p>
        </txPr>
        <crossAx val="576484552"/>
        <crosses val="autoZero"/>
        <crossBetween val="between"/>
        <minorUnit val="5"/>
      </valAx>
    </plotArea>
    <legend>
      <legendPos val="b"/>
      <layout>
        <manualLayout>
          <xMode val="edge"/>
          <yMode val="edge"/>
          <wMode val="factor"/>
          <hMode val="factor"/>
          <x val="0.09232480533926585"/>
          <y val="0.9233278955954323"/>
          <w val="0.8932146829810901"/>
          <h val="0.06851549755301795"/>
        </manualLayout>
      </layout>
      <overlay val="0"/>
      <spPr>
        <a:solidFill xmlns:a="http://schemas.openxmlformats.org/drawingml/2006/main">
          <a:srgbClr val="FFFFFF"/>
        </a:solidFill>
        <a:ln xmlns:a="http://schemas.openxmlformats.org/drawingml/2006/main" w="25400">
          <a:noFill/>
          <a:prstDash val="solid"/>
        </a:ln>
      </spPr>
      <txPr>
        <a:bodyPr xmlns:a="http://schemas.openxmlformats.org/drawingml/2006/main"/>
        <a:lstStyle xmlns:a="http://schemas.openxmlformats.org/drawingml/2006/main"/>
        <a:p xmlns:a="http://schemas.openxmlformats.org/drawingml/2006/main">
          <a:pPr>
            <a:defRPr sz="1655" b="0" i="0" strike="noStrike" baseline="0">
              <a:solidFill>
                <a:srgbClr val="000000"/>
              </a:solidFill>
              <a:latin typeface="Arial"/>
              <a:ea typeface="Arial"/>
              <a:cs typeface="Arial"/>
            </a:defRPr>
          </a:pPr>
          <a:r>
            <a:t/>
          </a:r>
          <a:endParaRPr lang="en-US"/>
        </a:p>
      </txPr>
    </legend>
    <plotVisOnly val="1"/>
    <dispBlanksAs val="gap"/>
  </chart>
  <spPr>
    <a:noFill xmlns:a="http://schemas.openxmlformats.org/drawingml/2006/main"/>
    <a:ln xmlns:a="http://schemas.openxmlformats.org/drawingml/2006/main" w="6350">
      <a:noFill/>
      <a:prstDash val="solid"/>
    </a:ln>
  </spPr>
</chartSpace>
</file>

<file path=xl/charts/chart1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b="1" i="0" strike="noStrike" baseline="0">
                <a:solidFill>
                  <a:srgbClr val="000000"/>
                </a:solidFill>
                <a:latin typeface="Arial"/>
                <a:ea typeface="Arial"/>
                <a:cs typeface="Arial"/>
              </a:defRPr>
            </a:pPr>
            <a:r>
              <a:rPr lang="en-US"/>
              <a:t>Figure B20-12. HERS BESTEST Tier-2 Example Results – Delta Annual or Seasonal Sensible Cooling Load (L165AL – P150AC)</a:t>
            </a:r>
          </a:p>
        </rich>
      </tx>
      <layout>
        <manualLayout>
          <xMode val="edge"/>
          <yMode val="edge"/>
          <wMode val="factor"/>
          <hMode val="factor"/>
          <x val="0.1045606229143493"/>
          <y val="0"/>
        </manualLayout>
      </layout>
      <overlay val="0"/>
      <spPr>
        <a:noFill xmlns:a="http://schemas.openxmlformats.org/drawingml/2006/main"/>
        <a:ln xmlns:a="http://schemas.openxmlformats.org/drawingml/2006/main" w="25400">
          <a:noFill/>
          <a:prstDash val="solid"/>
        </a:ln>
      </spPr>
    </title>
    <plotArea>
      <layout>
        <manualLayout>
          <layoutTarget val="inner"/>
          <xMode val="edge"/>
          <yMode val="edge"/>
          <wMode val="factor"/>
          <hMode val="factor"/>
          <x val="0.1045606229143493"/>
          <y val="0.1076672104404568"/>
          <w val="0.8832035595105673"/>
          <h val="0.6867862969004894"/>
        </manualLayout>
      </layout>
      <barChart>
        <barDir val="col"/>
        <grouping val="clustered"/>
        <varyColors val="0"/>
        <ser>
          <idx val="0"/>
          <order val="0"/>
          <tx>
            <strRef>
              <f>PlotData!$B$65</f>
              <strCache>
                <ptCount val="1"/>
                <pt idx="0">
                  <v>BLAST 3.0</v>
                </pt>
              </strCache>
            </strRef>
          </tx>
          <spPr>
            <a:pattFill xmlns:a="http://schemas.openxmlformats.org/drawingml/2006/main" prst="lgGrid">
              <a:fgClr>
                <a:srgbClr val="000000"/>
              </a:fgClr>
              <a:bgClr>
                <a:srgbClr val="FFFFFF"/>
              </a:bgClr>
            </a:pattFill>
            <a:ln xmlns:a="http://schemas.openxmlformats.org/drawingml/2006/main" w="25400">
              <a:solidFill>
                <a:srgbClr val="000000"/>
              </a:solidFill>
              <a:prstDash val="solid"/>
            </a:ln>
          </spPr>
          <invertIfNegative val="0"/>
          <cat>
            <strRef>
              <f>PlotData!$C$64:$G$64</f>
              <strCache>
                <ptCount val="5"/>
                <pt idx="0">
                  <v>L165AL-L160AL</v>
                </pt>
                <pt idx="1">
                  <v>P105AC-P100AC</v>
                </pt>
                <pt idx="2">
                  <v>P110AC-P100AC</v>
                </pt>
                <pt idx="3">
                  <v>P140AC-P100AC</v>
                </pt>
                <pt idx="4">
                  <v>P150AC-P100AC</v>
                </pt>
              </strCache>
            </strRef>
          </cat>
          <val>
            <numRef>
              <f>PlotData!$C$65:$G$65</f>
              <numCache>
                <formatCode>0.00</formatCode>
                <ptCount val="5"/>
                <pt idx="0">
                  <v>-7.849999999999994</v>
                </pt>
                <pt idx="1">
                  <v>-6.169999999999996</v>
                </pt>
                <pt idx="2">
                  <v>12.08</v>
                </pt>
                <pt idx="3">
                  <v>-16.43</v>
                </pt>
                <pt idx="4">
                  <v>-5.679999999999996</v>
                </pt>
              </numCache>
            </numRef>
          </val>
        </ser>
        <ser>
          <idx val="1"/>
          <order val="1"/>
          <tx>
            <strRef>
              <f>PlotData!$B$66</f>
              <strCache>
                <ptCount val="1"/>
                <pt idx="0">
                  <v>DOE-2.1E</v>
                </pt>
              </strCache>
            </strRef>
          </tx>
          <spPr>
            <a:solidFill xmlns:a="http://schemas.openxmlformats.org/drawingml/2006/main">
              <a:srgbClr val="C0C0C0"/>
            </a:solidFill>
            <a:ln xmlns:a="http://schemas.openxmlformats.org/drawingml/2006/main" w="25400">
              <a:solidFill>
                <a:srgbClr val="000000"/>
              </a:solidFill>
              <a:prstDash val="solid"/>
            </a:ln>
          </spPr>
          <invertIfNegative val="0"/>
          <cat>
            <strRef>
              <f>PlotData!$C$64:$G$64</f>
              <strCache>
                <ptCount val="5"/>
                <pt idx="0">
                  <v>L165AL-L160AL</v>
                </pt>
                <pt idx="1">
                  <v>P105AC-P100AC</v>
                </pt>
                <pt idx="2">
                  <v>P110AC-P100AC</v>
                </pt>
                <pt idx="3">
                  <v>P140AC-P100AC</v>
                </pt>
                <pt idx="4">
                  <v>P150AC-P100AC</v>
                </pt>
              </strCache>
            </strRef>
          </cat>
          <val>
            <numRef>
              <f>PlotData!$C$66:$G$66</f>
              <numCache>
                <formatCode>0.00</formatCode>
                <ptCount val="5"/>
                <pt idx="0">
                  <v>-15.81999999999999</v>
                </pt>
                <pt idx="1">
                  <v>-9.4</v>
                </pt>
                <pt idx="2">
                  <v>13.47</v>
                </pt>
                <pt idx="3">
                  <v>-20.17</v>
                </pt>
                <pt idx="4">
                  <v>-7.98</v>
                </pt>
              </numCache>
            </numRef>
          </val>
        </ser>
        <ser>
          <idx val="2"/>
          <order val="2"/>
          <tx>
            <strRef>
              <f>PlotData!$B$67</f>
              <strCache>
                <ptCount val="1"/>
                <pt idx="0">
                  <v>SRES/SUN 5.7</v>
                </pt>
              </strCache>
            </strRef>
          </tx>
          <spPr>
            <a:pattFill xmlns:a="http://schemas.openxmlformats.org/drawingml/2006/main" prst="lgCheck">
              <a:fgClr>
                <a:srgbClr val="000000"/>
              </a:fgClr>
              <a:bgClr>
                <a:srgbClr val="FFFFFF"/>
              </a:bgClr>
            </a:pattFill>
            <a:ln xmlns:a="http://schemas.openxmlformats.org/drawingml/2006/main" w="25400">
              <a:solidFill>
                <a:srgbClr val="000000"/>
              </a:solidFill>
              <a:prstDash val="solid"/>
            </a:ln>
          </spPr>
          <invertIfNegative val="0"/>
          <cat>
            <strRef>
              <f>PlotData!$C$64:$G$64</f>
              <strCache>
                <ptCount val="5"/>
                <pt idx="0">
                  <v>L165AL-L160AL</v>
                </pt>
                <pt idx="1">
                  <v>P105AC-P100AC</v>
                </pt>
                <pt idx="2">
                  <v>P110AC-P100AC</v>
                </pt>
                <pt idx="3">
                  <v>P140AC-P100AC</v>
                </pt>
                <pt idx="4">
                  <v>P150AC-P100AC</v>
                </pt>
              </strCache>
            </strRef>
          </cat>
          <val>
            <numRef>
              <f>PlotData!$C$67:$G$67</f>
              <numCache>
                <formatCode>0.00</formatCode>
                <ptCount val="5"/>
                <pt idx="0">
                  <v>-8.040000000000006</v>
                </pt>
                <pt idx="1">
                  <v>-6.609999999999999</v>
                </pt>
                <pt idx="2">
                  <v>10.79</v>
                </pt>
                <pt idx="3">
                  <v>-18.33</v>
                </pt>
                <pt idx="4">
                  <v>-6.039999999999999</v>
                </pt>
              </numCache>
            </numRef>
          </val>
        </ser>
        <ser>
          <idx val="3"/>
          <order val="3"/>
          <tx>
            <strRef>
              <f>PlotData!$B$68</f>
              <strCache>
                <ptCount val="1"/>
                <pt idx="0">
                  <v>Tested Software 1.0</v>
                </pt>
              </strCache>
            </strRef>
          </tx>
          <spPr>
            <a:solidFill xmlns:a="http://schemas.openxmlformats.org/drawingml/2006/main">
              <a:srgbClr val="FF0000"/>
            </a:solidFill>
            <a:ln xmlns:a="http://schemas.openxmlformats.org/drawingml/2006/main" w="12700">
              <a:solidFill>
                <a:srgbClr val="000000"/>
              </a:solidFill>
              <a:prstDash val="solid"/>
            </a:ln>
          </spPr>
          <invertIfNegative val="0"/>
          <cat>
            <strRef>
              <f>PlotData!$C$64:$G$64</f>
              <strCache>
                <ptCount val="5"/>
                <pt idx="0">
                  <v>L165AL-L160AL</v>
                </pt>
                <pt idx="1">
                  <v>P105AC-P100AC</v>
                </pt>
                <pt idx="2">
                  <v>P110AC-P100AC</v>
                </pt>
                <pt idx="3">
                  <v>P140AC-P100AC</v>
                </pt>
                <pt idx="4">
                  <v>P150AC-P100AC</v>
                </pt>
              </strCache>
            </strRef>
          </cat>
          <val>
            <numRef>
              <f>PlotData!$C$68:$G$68</f>
              <numCache>
                <formatCode>0.00</formatCode>
                <ptCount val="5"/>
                <pt idx="0">
                  <v>-10.56999999999999</v>
                </pt>
                <pt idx="1">
                  <v>-7.393333333333329</v>
                </pt>
                <pt idx="2">
                  <v>12.11333333333333</v>
                </pt>
                <pt idx="3">
                  <v>-18.31</v>
                </pt>
                <pt idx="4">
                  <v>-6.566666666666665</v>
                </pt>
              </numCache>
            </numRef>
          </val>
        </ser>
        <dLbls>
          <showLegendKey val="0"/>
          <showVal val="0"/>
          <showCatName val="0"/>
          <showSerName val="0"/>
          <showPercent val="0"/>
          <showBubbleSize val="0"/>
        </dLbls>
        <gapWidth val="150"/>
        <axId val="576475912"/>
        <axId val="1"/>
      </barChart>
      <catAx>
        <axId val="576475912"/>
        <scaling>
          <orientation val="minMax"/>
        </scaling>
        <delete val="0"/>
        <axPos val="b"/>
        <numFmt formatCode="General" sourceLinked="1"/>
        <majorTickMark val="out"/>
        <minorTickMark val="none"/>
        <tickLblPos val="low"/>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600" b="1" i="0" strike="noStrike" baseline="0">
                <a:solidFill>
                  <a:srgbClr val="000000"/>
                </a:solidFill>
                <a:latin typeface="Arial"/>
                <a:ea typeface="Arial"/>
                <a:cs typeface="Arial"/>
              </a:defRPr>
            </a:pPr>
            <a:r>
              <a:t/>
            </a:r>
            <a:endParaRPr lang="en-US"/>
          </a:p>
        </txPr>
        <crossAx val="1"/>
        <crosses val="autoZero"/>
        <auto val="1"/>
        <lblAlgn val="ctr"/>
        <lblOffset val="100"/>
        <tickLblSkip val="1"/>
        <tickMarkSkip val="1"/>
        <noMultiLvlLbl val="0"/>
      </catAx>
      <valAx>
        <axId val="1"/>
        <scaling>
          <orientation val="minMax"/>
        </scaling>
        <delete val="0"/>
        <axPos val="l"/>
        <majorGridlines>
          <spPr>
            <a:ln xmlns:a="http://schemas.openxmlformats.org/drawingml/2006/main" w="3175">
              <a:solidFill>
                <a:srgbClr val="808080"/>
              </a:solidFill>
              <a:prstDash val="sysDash"/>
            </a:ln>
          </spPr>
        </majorGridlines>
        <numFmt formatCode="0" sourceLinked="0"/>
        <majorTickMark val="out"/>
        <minorTickMark val="in"/>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575" b="1" i="0" strike="noStrike" baseline="0">
                <a:solidFill>
                  <a:srgbClr val="000000"/>
                </a:solidFill>
                <a:latin typeface="Arial"/>
                <a:ea typeface="Arial"/>
                <a:cs typeface="Arial"/>
              </a:defRPr>
            </a:pPr>
            <a:r>
              <a:t/>
            </a:r>
            <a:endParaRPr lang="en-US"/>
          </a:p>
        </txPr>
        <crossAx val="576475912"/>
        <crosses val="autoZero"/>
        <crossBetween val="between"/>
        <minorUnit val="5"/>
      </valAx>
    </plotArea>
    <legend>
      <legendPos val="b"/>
      <layout>
        <manualLayout>
          <xMode val="edge"/>
          <yMode val="edge"/>
          <wMode val="factor"/>
          <hMode val="factor"/>
          <x val="0.09677419354838709"/>
          <y val="0.9282218597063622"/>
          <w val="0.8932146829810901"/>
          <h val="0.06851549755301795"/>
        </manualLayout>
      </layout>
      <overlay val="0"/>
      <spPr>
        <a:solidFill xmlns:a="http://schemas.openxmlformats.org/drawingml/2006/main">
          <a:srgbClr val="FFFFFF"/>
        </a:solidFill>
        <a:ln xmlns:a="http://schemas.openxmlformats.org/drawingml/2006/main" w="25400">
          <a:noFill/>
          <a:prstDash val="solid"/>
        </a:ln>
      </spPr>
      <txPr>
        <a:bodyPr xmlns:a="http://schemas.openxmlformats.org/drawingml/2006/main"/>
        <a:lstStyle xmlns:a="http://schemas.openxmlformats.org/drawingml/2006/main"/>
        <a:p xmlns:a="http://schemas.openxmlformats.org/drawingml/2006/main">
          <a:pPr>
            <a:defRPr sz="1655" b="0" i="0" strike="noStrike" baseline="0">
              <a:solidFill>
                <a:srgbClr val="000000"/>
              </a:solidFill>
              <a:latin typeface="Arial"/>
              <a:ea typeface="Arial"/>
              <a:cs typeface="Arial"/>
            </a:defRPr>
          </a:pPr>
          <a:r>
            <a:t/>
          </a:r>
          <a:endParaRPr lang="en-US"/>
        </a:p>
      </txPr>
    </legend>
    <plotVisOnly val="1"/>
    <dispBlanksAs val="gap"/>
  </chart>
  <spPr>
    <a:noFill xmlns:a="http://schemas.openxmlformats.org/drawingml/2006/main"/>
    <a:ln xmlns:a="http://schemas.openxmlformats.org/drawingml/2006/main" w="6350">
      <a:noFill/>
      <a:prstDash val="solid"/>
    </a:ln>
  </spPr>
</chartSpace>
</file>

<file path=xl/chartsheets/_rels/sheet1.xml.rels><Relationships xmlns="http://schemas.openxmlformats.org/package/2006/relationships"><Relationship Type="http://schemas.openxmlformats.org/officeDocument/2006/relationships/drawing" Target="/xl/drawings/drawing1.xml" Id="rId1"/></Relationships>
</file>

<file path=xl/chartsheets/_rels/sheet2.xml.rels><Relationships xmlns="http://schemas.openxmlformats.org/package/2006/relationships"><Relationship Type="http://schemas.openxmlformats.org/officeDocument/2006/relationships/drawing" Target="/xl/drawings/drawing2.xml" Id="rId1"/></Relationships>
</file>

<file path=xl/chartsheets/_rels/sheet3.xml.rels><Relationships xmlns="http://schemas.openxmlformats.org/package/2006/relationships"><Relationship Type="http://schemas.openxmlformats.org/officeDocument/2006/relationships/drawing" Target="/xl/drawings/drawing3.xml" Id="rId1"/></Relationships>
</file>

<file path=xl/chartsheets/_rels/sheet4.xml.rels><Relationships xmlns="http://schemas.openxmlformats.org/package/2006/relationships"><Relationship Type="http://schemas.openxmlformats.org/officeDocument/2006/relationships/drawing" Target="/xl/drawings/drawing4.xml" Id="rId1"/></Relationships>
</file>

<file path=xl/chartsheets/_rels/sheet5.xml.rels><Relationships xmlns="http://schemas.openxmlformats.org/package/2006/relationships"><Relationship Type="http://schemas.openxmlformats.org/officeDocument/2006/relationships/drawing" Target="/xl/drawings/drawing5.xml" Id="rId1"/></Relationships>
</file>

<file path=xl/chartsheets/_rels/sheet6.xml.rels><Relationships xmlns="http://schemas.openxmlformats.org/package/2006/relationships"><Relationship Type="http://schemas.openxmlformats.org/officeDocument/2006/relationships/drawing" Target="/xl/drawings/drawing6.xml" Id="rId1"/></Relationships>
</file>

<file path=xl/chartsheets/_rels/sheet7.xml.rels><Relationships xmlns="http://schemas.openxmlformats.org/package/2006/relationships"><Relationship Type="http://schemas.openxmlformats.org/officeDocument/2006/relationships/drawing" Target="/xl/drawings/drawing7.xml" Id="rId1"/></Relationships>
</file>

<file path=xl/chartsheets/_rels/sheet8.xml.rels><Relationships xmlns="http://schemas.openxmlformats.org/package/2006/relationships"><Relationship Type="http://schemas.openxmlformats.org/officeDocument/2006/relationships/drawing" Target="/xl/drawings/drawing8.xml" Id="rId1"/></Relationships>
</file>

<file path=xl/chartsheets/_rels/sheet9.xml.rels><Relationships xmlns="http://schemas.openxmlformats.org/package/2006/relationships"><Relationship Type="http://schemas.openxmlformats.org/officeDocument/2006/relationships/drawing" Target="/xl/drawings/drawing9.xml" Id="rId1"/></Relationships>
</file>

<file path=xl/chartsheets/_rels/sheet10.xml.rels><Relationships xmlns="http://schemas.openxmlformats.org/package/2006/relationships"><Relationship Type="http://schemas.openxmlformats.org/officeDocument/2006/relationships/drawing" Target="/xl/drawings/drawing10.xml" Id="rId1"/></Relationships>
</file>

<file path=xl/chartsheets/_rels/sheet11.xml.rels><Relationships xmlns="http://schemas.openxmlformats.org/package/2006/relationships"><Relationship Type="http://schemas.openxmlformats.org/officeDocument/2006/relationships/drawing" Target="/xl/drawings/drawing11.xml" Id="rId1"/></Relationships>
</file>

<file path=xl/chartsheets/_rels/sheet12.xml.rels><Relationships xmlns="http://schemas.openxmlformats.org/package/2006/relationships"><Relationship Type="http://schemas.openxmlformats.org/officeDocument/2006/relationships/drawing" Target="/xl/drawings/drawing12.xml" Id="rId1"/></Relationships>
</file>

<file path=xl/chartsheets/sheet1.xml><?xml version="1.0" encoding="utf-8"?>
<chartsheet xmlns="http://schemas.openxmlformats.org/spreadsheetml/2006/main">
  <sheetPr/>
  <sheetViews>
    <sheetView zoomScale="85" workbookViewId="0" zoomToFit="1"/>
  </sheetViews>
  <pageMargins left="0.75" right="0.75" top="1" bottom="1" header="0.5" footer="0.5"/>
  <pageSetup orientation="landscape"/>
  <drawing xmlns:r="http://schemas.openxmlformats.org/officeDocument/2006/relationships" r:id="rId1"/>
</chartsheet>
</file>

<file path=xl/chartsheets/sheet2.xml><?xml version="1.0" encoding="utf-8"?>
<chartsheet xmlns="http://schemas.openxmlformats.org/spreadsheetml/2006/main">
  <sheetPr/>
  <sheetViews>
    <sheetView zoomScale="85" workbookViewId="0" zoomToFit="1"/>
  </sheetViews>
  <pageMargins left="0.75" right="0.75" top="1" bottom="1" header="0.5" footer="0.5"/>
  <pageSetup orientation="landscape"/>
  <drawing xmlns:r="http://schemas.openxmlformats.org/officeDocument/2006/relationships" r:id="rId1"/>
</chartsheet>
</file>

<file path=xl/chartsheets/sheet3.xml><?xml version="1.0" encoding="utf-8"?>
<chartsheet xmlns="http://schemas.openxmlformats.org/spreadsheetml/2006/main">
  <sheetPr/>
  <sheetViews>
    <sheetView zoomScale="85" workbookViewId="0" zoomToFit="1"/>
  </sheetViews>
  <pageMargins left="0.75" right="0.75" top="1" bottom="1" header="0.5" footer="0.5"/>
  <pageSetup orientation="landscape"/>
  <drawing xmlns:r="http://schemas.openxmlformats.org/officeDocument/2006/relationships" r:id="rId1"/>
</chartsheet>
</file>

<file path=xl/chartsheets/sheet4.xml><?xml version="1.0" encoding="utf-8"?>
<chartsheet xmlns="http://schemas.openxmlformats.org/spreadsheetml/2006/main">
  <sheetPr/>
  <sheetViews>
    <sheetView zoomScale="85" workbookViewId="0" zoomToFit="1"/>
  </sheetViews>
  <pageMargins left="0.75" right="0.75" top="1" bottom="1" header="0.5" footer="0.5"/>
  <pageSetup orientation="landscape"/>
  <drawing xmlns:r="http://schemas.openxmlformats.org/officeDocument/2006/relationships" r:id="rId1"/>
</chartsheet>
</file>

<file path=xl/chartsheets/sheet5.xml><?xml version="1.0" encoding="utf-8"?>
<chartsheet xmlns="http://schemas.openxmlformats.org/spreadsheetml/2006/main">
  <sheetPr/>
  <sheetViews>
    <sheetView zoomScale="85" workbookViewId="0" zoomToFit="1"/>
  </sheetViews>
  <pageMargins left="0.75" right="0.75" top="1" bottom="1" header="0.5" footer="0.5"/>
  <pageSetup orientation="landscape"/>
  <drawing xmlns:r="http://schemas.openxmlformats.org/officeDocument/2006/relationships" r:id="rId1"/>
</chartsheet>
</file>

<file path=xl/chartsheets/sheet6.xml><?xml version="1.0" encoding="utf-8"?>
<chartsheet xmlns="http://schemas.openxmlformats.org/spreadsheetml/2006/main">
  <sheetPr/>
  <sheetViews>
    <sheetView zoomScale="85" workbookViewId="0" zoomToFit="1"/>
  </sheetViews>
  <pageMargins left="0.75" right="0.75" top="1" bottom="1" header="0.5" footer="0.5"/>
  <pageSetup orientation="landscape"/>
  <drawing xmlns:r="http://schemas.openxmlformats.org/officeDocument/2006/relationships" r:id="rId1"/>
</chartsheet>
</file>

<file path=xl/chartsheets/sheet7.xml><?xml version="1.0" encoding="utf-8"?>
<chartsheet xmlns="http://schemas.openxmlformats.org/spreadsheetml/2006/main">
  <sheetPr/>
  <sheetViews>
    <sheetView zoomScale="85" workbookViewId="0" zoomToFit="1"/>
  </sheetViews>
  <pageMargins left="0.75" right="0.75" top="1" bottom="1" header="0.5" footer="0.5"/>
  <pageSetup orientation="landscape"/>
  <drawing xmlns:r="http://schemas.openxmlformats.org/officeDocument/2006/relationships" r:id="rId1"/>
</chartsheet>
</file>

<file path=xl/chartsheets/sheet8.xml><?xml version="1.0" encoding="utf-8"?>
<chartsheet xmlns="http://schemas.openxmlformats.org/spreadsheetml/2006/main">
  <sheetPr/>
  <sheetViews>
    <sheetView zoomScale="85" workbookViewId="0" zoomToFit="1"/>
  </sheetViews>
  <pageMargins left="0.75" right="0.75" top="1" bottom="1" header="0.5" footer="0.5"/>
  <pageSetup orientation="landscape"/>
  <drawing xmlns:r="http://schemas.openxmlformats.org/officeDocument/2006/relationships" r:id="rId1"/>
</chartsheet>
</file>

<file path=xl/chartsheets/sheet9.xml><?xml version="1.0" encoding="utf-8"?>
<chartsheet xmlns="http://schemas.openxmlformats.org/spreadsheetml/2006/main">
  <sheetPr/>
  <sheetViews>
    <sheetView zoomScale="85" workbookViewId="0" zoomToFit="1"/>
  </sheetViews>
  <pageMargins left="0.75" right="0.75" top="1" bottom="1" header="0.5" footer="0.5"/>
  <pageSetup orientation="landscape"/>
  <drawing xmlns:r="http://schemas.openxmlformats.org/officeDocument/2006/relationships" r:id="rId1"/>
</chartsheet>
</file>

<file path=xl/chartsheets/sheet10.xml><?xml version="1.0" encoding="utf-8"?>
<chartsheet xmlns="http://schemas.openxmlformats.org/spreadsheetml/2006/main">
  <sheetPr/>
  <sheetViews>
    <sheetView zoomScale="85" workbookViewId="0" zoomToFit="1"/>
  </sheetViews>
  <pageMargins left="0.75" right="0.75" top="1" bottom="1" header="0.5" footer="0.5"/>
  <pageSetup orientation="landscape"/>
  <drawing xmlns:r="http://schemas.openxmlformats.org/officeDocument/2006/relationships" r:id="rId1"/>
</chartsheet>
</file>

<file path=xl/chartsheets/sheet11.xml><?xml version="1.0" encoding="utf-8"?>
<chartsheet xmlns="http://schemas.openxmlformats.org/spreadsheetml/2006/main">
  <sheetPr/>
  <sheetViews>
    <sheetView zoomScale="85" workbookViewId="0" zoomToFit="1"/>
  </sheetViews>
  <pageMargins left="0.75" right="0.75" top="1" bottom="1" header="0.5" footer="0.5"/>
  <pageSetup orientation="landscape"/>
  <drawing xmlns:r="http://schemas.openxmlformats.org/officeDocument/2006/relationships" r:id="rId1"/>
</chartsheet>
</file>

<file path=xl/chartsheets/sheet12.xml><?xml version="1.0" encoding="utf-8"?>
<chartsheet xmlns="http://schemas.openxmlformats.org/spreadsheetml/2006/main">
  <sheetPr/>
  <sheetViews>
    <sheetView zoomScale="85" workbookViewId="0" zoomToFit="1"/>
  </sheetViews>
  <pageMargins left="0.75" right="0.75" top="1" bottom="1" header="0.5" footer="0.5"/>
  <pageSetup orientation="landscape"/>
  <drawing xmlns:r="http://schemas.openxmlformats.org/officeDocument/2006/relationships" r:id="rId1"/>
</chartsheet>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_rels/drawing6.xml.rels><Relationships xmlns="http://schemas.openxmlformats.org/package/2006/relationships"><Relationship Type="http://schemas.openxmlformats.org/officeDocument/2006/relationships/chart" Target="/xl/charts/chart6.xml" Id="rId1"/></Relationships>
</file>

<file path=xl/drawings/_rels/drawing7.xml.rels><Relationships xmlns="http://schemas.openxmlformats.org/package/2006/relationships"><Relationship Type="http://schemas.openxmlformats.org/officeDocument/2006/relationships/chart" Target="/xl/charts/chart7.xml" Id="rId1"/></Relationships>
</file>

<file path=xl/drawings/_rels/drawing8.xml.rels><Relationships xmlns="http://schemas.openxmlformats.org/package/2006/relationships"><Relationship Type="http://schemas.openxmlformats.org/officeDocument/2006/relationships/chart" Target="/xl/charts/chart8.xml" Id="rId1"/></Relationships>
</file>

<file path=xl/drawings/_rels/drawing9.xml.rels><Relationships xmlns="http://schemas.openxmlformats.org/package/2006/relationships"><Relationship Type="http://schemas.openxmlformats.org/officeDocument/2006/relationships/chart" Target="/xl/charts/chart9.xml" Id="rId1"/></Relationships>
</file>

<file path=xl/drawings/_rels/drawing10.xml.rels><Relationships xmlns="http://schemas.openxmlformats.org/package/2006/relationships"><Relationship Type="http://schemas.openxmlformats.org/officeDocument/2006/relationships/chart" Target="/xl/charts/chart10.xml" Id="rId1"/></Relationships>
</file>

<file path=xl/drawings/_rels/drawing11.xml.rels><Relationships xmlns="http://schemas.openxmlformats.org/package/2006/relationships"><Relationship Type="http://schemas.openxmlformats.org/officeDocument/2006/relationships/chart" Target="/xl/charts/chart11.xml" Id="rId1"/></Relationships>
</file>

<file path=xl/drawings/_rels/drawing12.xml.rels><Relationships xmlns="http://schemas.openxmlformats.org/package/2006/relationships"><Relationship Type="http://schemas.openxmlformats.org/officeDocument/2006/relationships/chart" Target="/xl/charts/chart12.xml" Id="rId1"/></Relationships>
</file>

<file path=xl/drawings/drawing1.xml><?xml version="1.0" encoding="utf-8"?>
<wsDr xmlns="http://schemas.openxmlformats.org/drawingml/2006/spreadsheetDrawing">
  <absoluteAnchor>
    <pos x="0" y="0"/>
    <ext cx="0" cy="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absoluteAnchor>
</wsDr>
</file>

<file path=xl/drawings/drawing2.xml><?xml version="1.0" encoding="utf-8"?>
<wsDr xmlns="http://schemas.openxmlformats.org/drawingml/2006/spreadsheetDrawing">
  <absoluteAnchor>
    <pos x="0" y="0"/>
    <ext cx="0" cy="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absoluteAnchor>
</wsDr>
</file>

<file path=xl/drawings/drawing3.xml><?xml version="1.0" encoding="utf-8"?>
<wsDr xmlns="http://schemas.openxmlformats.org/drawingml/2006/spreadsheetDrawing">
  <absoluteAnchor>
    <pos x="0" y="0"/>
    <ext cx="0" cy="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absoluteAnchor>
</wsDr>
</file>

<file path=xl/drawings/drawing4.xml><?xml version="1.0" encoding="utf-8"?>
<wsDr xmlns="http://schemas.openxmlformats.org/drawingml/2006/spreadsheetDrawing">
  <absoluteAnchor>
    <pos x="0" y="0"/>
    <ext cx="0" cy="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absoluteAnchor>
</wsDr>
</file>

<file path=xl/drawings/drawing5.xml><?xml version="1.0" encoding="utf-8"?>
<wsDr xmlns="http://schemas.openxmlformats.org/drawingml/2006/spreadsheetDrawing">
  <absoluteAnchor>
    <pos x="0" y="0"/>
    <ext cx="0" cy="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absoluteAnchor>
</wsDr>
</file>

<file path=xl/drawings/drawing6.xml><?xml version="1.0" encoding="utf-8"?>
<wsDr xmlns="http://schemas.openxmlformats.org/drawingml/2006/spreadsheetDrawing">
  <absoluteAnchor>
    <pos x="0" y="0"/>
    <ext cx="0" cy="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absoluteAnchor>
</wsDr>
</file>

<file path=xl/drawings/drawing7.xml><?xml version="1.0" encoding="utf-8"?>
<wsDr xmlns="http://schemas.openxmlformats.org/drawingml/2006/spreadsheetDrawing">
  <absoluteAnchor>
    <pos x="0" y="0"/>
    <ext cx="0" cy="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absoluteAnchor>
</wsDr>
</file>

<file path=xl/drawings/drawing8.xml><?xml version="1.0" encoding="utf-8"?>
<wsDr xmlns="http://schemas.openxmlformats.org/drawingml/2006/spreadsheetDrawing">
  <absoluteAnchor>
    <pos x="0" y="0"/>
    <ext cx="0" cy="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absoluteAnchor>
</wsDr>
</file>

<file path=xl/drawings/drawing9.xml><?xml version="1.0" encoding="utf-8"?>
<wsDr xmlns="http://schemas.openxmlformats.org/drawingml/2006/spreadsheetDrawing">
  <absoluteAnchor>
    <pos x="0" y="0"/>
    <ext cx="0" cy="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absoluteAnchor>
</wsDr>
</file>

<file path=xl/drawings/drawing10.xml><?xml version="1.0" encoding="utf-8"?>
<wsDr xmlns="http://schemas.openxmlformats.org/drawingml/2006/spreadsheetDrawing">
  <absoluteAnchor>
    <pos x="0" y="0"/>
    <ext cx="0" cy="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absoluteAnchor>
</wsDr>
</file>

<file path=xl/drawings/drawing11.xml><?xml version="1.0" encoding="utf-8"?>
<wsDr xmlns="http://schemas.openxmlformats.org/drawingml/2006/spreadsheetDrawing">
  <absoluteAnchor>
    <pos x="0" y="0"/>
    <ext cx="0" cy="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absoluteAnchor>
</wsDr>
</file>

<file path=xl/drawings/drawing12.xml><?xml version="1.0" encoding="utf-8"?>
<wsDr xmlns="http://schemas.openxmlformats.org/drawingml/2006/spreadsheetDrawing">
  <absoluteAnchor>
    <pos x="0" y="0"/>
    <ext cx="0" cy="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absolute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Z47"/>
  <sheetViews>
    <sheetView tabSelected="1" workbookViewId="0">
      <selection activeCell="A1" sqref="A1:E1"/>
    </sheetView>
  </sheetViews>
  <sheetFormatPr baseColWidth="8" defaultRowHeight="12.75"/>
  <cols>
    <col width="3.140625" customWidth="1" style="158" min="1" max="1"/>
    <col width="8.85546875" customWidth="1" style="158" min="2" max="2"/>
    <col width="11.85546875" customWidth="1" style="158" min="3" max="3"/>
    <col width="10.140625" customWidth="1" style="158" min="4" max="4"/>
    <col width="11.42578125" customWidth="1" style="158" min="6" max="6"/>
    <col width="3.85546875" customWidth="1" style="158" min="8" max="8"/>
    <col width="9" customWidth="1" style="158" min="9" max="9"/>
    <col width="11.5703125" customWidth="1" style="158" min="10" max="10"/>
    <col width="11.28515625" customWidth="1" style="158" min="13" max="13"/>
  </cols>
  <sheetData>
    <row r="1" ht="15.75" customHeight="1" s="158">
      <c r="A1" s="157" t="inlineStr">
        <is>
          <t>Std140_TF_Class2_Results.xls, sheet "TF_Class2_Output"</t>
        </is>
      </c>
    </row>
    <row r="2" ht="8.1" customHeight="1" s="158">
      <c r="A2" s="157" t="n"/>
      <c r="B2" t="inlineStr">
        <is>
          <t xml:space="preserve"> </t>
        </is>
      </c>
    </row>
    <row r="3">
      <c r="D3" s="90" t="inlineStr">
        <is>
          <t>Software name:</t>
        </is>
      </c>
      <c r="E3" s="34" t="inlineStr">
        <is>
          <t>Pinocchio-EP / EnergyPlus 26.1</t>
        </is>
      </c>
      <c r="F3" s="177" t="n"/>
      <c r="G3" s="178" t="n"/>
      <c r="H3" t="inlineStr">
        <is>
          <t xml:space="preserve">   Enter the name and version number of the software being tested in Cell E3 (merged cells);</t>
        </is>
      </c>
    </row>
    <row r="4">
      <c r="D4" s="90" t="n"/>
      <c r="E4" s="144" t="n"/>
      <c r="F4" s="144" t="n"/>
      <c r="G4" s="144" t="n"/>
      <c r="I4" t="inlineStr">
        <is>
          <t>use abbreviation if needed, so that name of tested software fits well on the charts</t>
        </is>
      </c>
    </row>
    <row r="5" ht="8.1" customHeight="1" s="158">
      <c r="A5" s="172" t="n"/>
      <c r="E5" s="142" t="n"/>
      <c r="F5" s="143" t="n"/>
      <c r="G5" s="143" t="n"/>
    </row>
    <row r="6" ht="12.75" customHeight="1" s="158">
      <c r="C6" s="57" t="n"/>
      <c r="D6" s="90" t="inlineStr">
        <is>
          <t>Organizations submitting results:</t>
        </is>
      </c>
      <c r="E6" s="179" t="inlineStr">
        <is>
          <t>ERGO Energy LLP</t>
        </is>
      </c>
      <c r="F6" s="177" t="n"/>
      <c r="G6" s="178" t="n"/>
      <c r="H6" t="inlineStr">
        <is>
          <t xml:space="preserve">   Enter the name of the organization submitting results in Cell E5 (merged cells)</t>
        </is>
      </c>
    </row>
    <row r="7" ht="12.75" customHeight="1" s="158">
      <c r="A7" s="172" t="n"/>
      <c r="C7" s="57" t="n"/>
      <c r="D7" s="57" t="n"/>
      <c r="E7" s="57" t="n"/>
    </row>
    <row r="8" ht="12.75" customHeight="1" s="158">
      <c r="A8" s="157" t="inlineStr">
        <is>
          <t>Results:</t>
        </is>
      </c>
      <c r="C8" s="172" t="inlineStr">
        <is>
          <t xml:space="preserve">Instructions: Enter test case results as specified in Sections 12.3.1 and 12.3.2 next to test case name in yellow cells, for heating and cooling seasons for the entire year or some other reasonable   </t>
        </is>
      </c>
      <c r="D8" s="141" t="n"/>
      <c r="E8" s="57" t="n"/>
    </row>
    <row r="9" ht="12.75" customHeight="1" s="158">
      <c r="A9" s="157" t="n"/>
      <c r="C9" s="172" t="n"/>
      <c r="D9" s="145" t="inlineStr">
        <is>
          <t xml:space="preserve">     length as defined by the tool being tested in units of million Btu; see row 31 for season entry instructions. (Note, currently shown load values are automatically calculated  </t>
        </is>
      </c>
      <c r="E9" s="57" t="n"/>
    </row>
    <row r="10" ht="12.75" customHeight="1" s="158">
      <c r="A10" s="157" t="n"/>
      <c r="C10" s="172" t="n"/>
      <c r="D10" s="145" t="inlineStr">
        <is>
          <t xml:space="preserve">     average values of example results (average of subsets of results for L302A - L324A); simply overwrite those formulas when entering values for the tested program.)</t>
        </is>
      </c>
      <c r="E10" s="57" t="n"/>
    </row>
    <row r="11">
      <c r="A11" s="172" t="inlineStr">
        <is>
          <t>Tier 1 Test Cases:</t>
        </is>
      </c>
      <c r="D11" s="57" t="n"/>
      <c r="E11" s="57" t="n"/>
      <c r="H11" s="172" t="inlineStr">
        <is>
          <t>Tier 2 Test Cases</t>
        </is>
      </c>
    </row>
    <row r="12">
      <c r="B12" t="inlineStr">
        <is>
          <t>Heating Cases:</t>
        </is>
      </c>
      <c r="E12" t="inlineStr">
        <is>
          <t>Cooling Cases:</t>
        </is>
      </c>
      <c r="I12" t="inlineStr">
        <is>
          <t>Heating Cases:</t>
        </is>
      </c>
      <c r="L12" t="inlineStr">
        <is>
          <t>Cooling Cases:</t>
        </is>
      </c>
    </row>
    <row r="13">
      <c r="C13" s="165" t="inlineStr">
        <is>
          <t>Heating Load</t>
        </is>
      </c>
      <c r="F13" s="165" t="inlineStr">
        <is>
          <t>Cooling Load</t>
        </is>
      </c>
      <c r="J13" s="165" t="inlineStr">
        <is>
          <t>Heating Load</t>
        </is>
      </c>
      <c r="M13" s="165" t="inlineStr">
        <is>
          <t>Cooling Load</t>
        </is>
      </c>
    </row>
    <row r="14">
      <c r="C14" s="165" t="inlineStr">
        <is>
          <t>(Million Btu)</t>
        </is>
      </c>
      <c r="F14" s="165" t="inlineStr">
        <is>
          <t>(Million Btu)</t>
        </is>
      </c>
      <c r="J14" s="165" t="inlineStr">
        <is>
          <t>(Million Btu)</t>
        </is>
      </c>
      <c r="M14" s="165" t="inlineStr">
        <is>
          <t>(Million Btu)</t>
        </is>
      </c>
    </row>
    <row r="15">
      <c r="B15" s="36" t="inlineStr">
        <is>
          <t>L100AC</t>
        </is>
      </c>
      <c r="C15" s="88" t="n">
        <v>52.09</v>
      </c>
      <c r="E15" s="36" t="inlineStr">
        <is>
          <t>L100AL</t>
        </is>
      </c>
      <c r="F15" s="88" t="n">
        <v>47.79</v>
      </c>
      <c r="G15" s="87" t="n"/>
      <c r="I15" s="36" t="inlineStr">
        <is>
          <t>L165AC</t>
        </is>
      </c>
      <c r="J15" s="88" t="n">
        <v>56.87</v>
      </c>
      <c r="L15" s="36" t="inlineStr">
        <is>
          <t>L165AL</t>
        </is>
      </c>
      <c r="M15" s="88" t="n">
        <v>48.69</v>
      </c>
      <c r="R15" s="87" t="n"/>
      <c r="S15" s="26" t="n"/>
      <c r="T15" s="26" t="n"/>
      <c r="U15" s="26" t="n"/>
      <c r="W15" s="26" t="n"/>
      <c r="X15" s="26" t="n"/>
      <c r="Y15" s="26" t="n"/>
      <c r="Z15" s="26" t="n"/>
    </row>
    <row r="16">
      <c r="B16" s="36" t="inlineStr">
        <is>
          <t>L110AC</t>
        </is>
      </c>
      <c r="C16" s="88" t="n">
        <v>77.77</v>
      </c>
      <c r="E16" s="36" t="inlineStr">
        <is>
          <t>L110AL</t>
        </is>
      </c>
      <c r="F16" s="88" t="n">
        <v>51.09</v>
      </c>
      <c r="G16" s="87" t="n"/>
      <c r="I16" s="36" t="inlineStr">
        <is>
          <t>P100AC</t>
        </is>
      </c>
      <c r="J16" s="88" t="n"/>
      <c r="L16" s="36" t="inlineStr">
        <is>
          <t>P100AC</t>
        </is>
      </c>
      <c r="M16" s="88" t="n"/>
      <c r="R16" s="87" t="n"/>
      <c r="S16" s="26" t="n"/>
      <c r="T16" s="26" t="n"/>
      <c r="U16" s="26" t="n"/>
      <c r="W16" s="26" t="n"/>
      <c r="X16" s="26" t="n"/>
      <c r="Y16" s="26" t="n"/>
      <c r="Z16" s="26" t="n"/>
    </row>
    <row r="17">
      <c r="B17" s="36" t="inlineStr">
        <is>
          <t>L120AC</t>
        </is>
      </c>
      <c r="C17" s="88" t="n">
        <v>39.67</v>
      </c>
      <c r="E17" s="36" t="inlineStr">
        <is>
          <t>L120AL</t>
        </is>
      </c>
      <c r="F17" s="88" t="n">
        <v>43.76</v>
      </c>
      <c r="G17" s="87" t="n"/>
      <c r="I17" s="36" t="inlineStr">
        <is>
          <t>P105AC</t>
        </is>
      </c>
      <c r="J17" s="88" t="n"/>
      <c r="L17" s="36" t="inlineStr">
        <is>
          <t>P105AC</t>
        </is>
      </c>
      <c r="M17" s="88" t="n"/>
      <c r="R17" s="87" t="n"/>
      <c r="S17" s="26" t="n"/>
      <c r="T17" s="26" t="n"/>
      <c r="U17" s="26" t="n"/>
      <c r="W17" s="26" t="n"/>
      <c r="X17" s="26" t="n"/>
      <c r="Y17" s="26" t="n"/>
      <c r="Z17" s="26" t="n"/>
    </row>
    <row r="18">
      <c r="B18" s="36" t="inlineStr">
        <is>
          <t>L130AC</t>
        </is>
      </c>
      <c r="C18" s="88" t="n">
        <v>42.29</v>
      </c>
      <c r="E18" s="36" t="inlineStr">
        <is>
          <t>L130AL</t>
        </is>
      </c>
      <c r="F18" s="88" t="n">
        <v>35.24</v>
      </c>
      <c r="G18" s="87" t="n"/>
      <c r="I18" s="36" t="inlineStr">
        <is>
          <t>P110AC</t>
        </is>
      </c>
      <c r="J18" s="88" t="n"/>
      <c r="L18" s="36" t="inlineStr">
        <is>
          <t>P110AC</t>
        </is>
      </c>
      <c r="M18" s="88" t="n"/>
      <c r="R18" s="87" t="n"/>
      <c r="S18" s="26" t="n"/>
      <c r="T18" s="26" t="n"/>
      <c r="U18" s="26" t="n"/>
      <c r="W18" s="26" t="n"/>
      <c r="X18" s="26" t="n"/>
      <c r="Y18" s="26" t="n"/>
      <c r="Z18" s="26" t="n"/>
    </row>
    <row r="19">
      <c r="B19" s="36" t="inlineStr">
        <is>
          <t>L140AC</t>
        </is>
      </c>
      <c r="C19" s="88" t="n">
        <v>49.39</v>
      </c>
      <c r="E19" s="36" t="inlineStr">
        <is>
          <t>L140AL</t>
        </is>
      </c>
      <c r="F19" s="88" t="n">
        <v>22.66</v>
      </c>
      <c r="G19" s="87" t="n"/>
      <c r="I19" s="36" t="inlineStr">
        <is>
          <t>P140AC</t>
        </is>
      </c>
      <c r="J19" s="88" t="n"/>
      <c r="L19" s="36" t="inlineStr">
        <is>
          <t>P140AC</t>
        </is>
      </c>
      <c r="M19" s="88" t="n"/>
      <c r="R19" s="87" t="n"/>
      <c r="S19" s="26" t="n"/>
      <c r="T19" s="26" t="n"/>
      <c r="U19" s="26" t="n"/>
      <c r="W19" s="26" t="n"/>
      <c r="X19" s="26" t="n"/>
      <c r="Y19" s="26" t="n"/>
      <c r="Z19" s="26" t="n"/>
    </row>
    <row r="20">
      <c r="B20" s="36" t="inlineStr">
        <is>
          <t>L150AC</t>
        </is>
      </c>
      <c r="C20" s="88" t="n">
        <v>44.05</v>
      </c>
      <c r="E20" s="36" t="inlineStr">
        <is>
          <t>L150AL</t>
        </is>
      </c>
      <c r="F20" s="88" t="n">
        <v>59.9</v>
      </c>
      <c r="G20" s="87" t="n"/>
      <c r="I20" s="36" t="inlineStr">
        <is>
          <t>P150AC</t>
        </is>
      </c>
      <c r="J20" s="88" t="n"/>
      <c r="L20" s="36" t="inlineStr">
        <is>
          <t>P150AC</t>
        </is>
      </c>
      <c r="M20" s="88" t="n"/>
      <c r="R20" s="87" t="n"/>
      <c r="S20" s="26" t="n"/>
      <c r="T20" s="26" t="n"/>
      <c r="U20" s="26" t="n"/>
      <c r="W20" s="26" t="n"/>
      <c r="X20" s="26" t="n"/>
      <c r="Y20" s="26" t="n"/>
      <c r="Z20" s="26" t="n"/>
    </row>
    <row r="21">
      <c r="B21" s="36" t="inlineStr">
        <is>
          <t>L155AC</t>
        </is>
      </c>
      <c r="C21" s="88" t="n">
        <v>46.85</v>
      </c>
      <c r="E21" s="36" t="inlineStr">
        <is>
          <t>L155AL</t>
        </is>
      </c>
      <c r="F21" s="88" t="n">
        <v>45.09</v>
      </c>
      <c r="G21" s="87" t="n"/>
      <c r="R21" s="87" t="n"/>
      <c r="S21" s="26" t="n"/>
      <c r="W21" s="26" t="n"/>
      <c r="X21" s="26" t="n"/>
    </row>
    <row r="22">
      <c r="B22" s="36" t="inlineStr">
        <is>
          <t>L160AC</t>
        </is>
      </c>
      <c r="C22" s="88" t="n">
        <v>52.81</v>
      </c>
      <c r="E22" s="36" t="inlineStr">
        <is>
          <t>L160AL</t>
        </is>
      </c>
      <c r="F22" s="88" t="n">
        <v>57.13</v>
      </c>
      <c r="G22" s="87" t="n"/>
      <c r="R22" s="87" t="n"/>
      <c r="S22" s="26" t="n"/>
      <c r="W22" s="26" t="n"/>
      <c r="X22" s="26" t="n"/>
    </row>
    <row r="23">
      <c r="B23" s="36" t="inlineStr">
        <is>
          <t>L170AC</t>
        </is>
      </c>
      <c r="C23" s="88" t="n">
        <v>62.96</v>
      </c>
      <c r="E23" s="36" t="inlineStr">
        <is>
          <t>L170AL</t>
        </is>
      </c>
      <c r="F23" s="88" t="n">
        <v>38.72</v>
      </c>
      <c r="G23" s="87" t="n"/>
      <c r="R23" s="87" t="n"/>
      <c r="S23" s="26" t="n"/>
      <c r="W23" s="26" t="n"/>
      <c r="X23" s="26" t="n"/>
    </row>
    <row r="24">
      <c r="B24" s="36" t="inlineStr">
        <is>
          <t>L200AC</t>
        </is>
      </c>
      <c r="C24" s="88" t="n">
        <v>131.29</v>
      </c>
      <c r="E24" s="36" t="inlineStr">
        <is>
          <t>L200AL</t>
        </is>
      </c>
      <c r="F24" s="88" t="n">
        <v>59.88</v>
      </c>
      <c r="G24" s="87" t="n"/>
      <c r="R24" s="87" t="n"/>
      <c r="S24" s="26" t="n"/>
      <c r="W24" s="26" t="n"/>
      <c r="X24" s="26" t="n"/>
    </row>
    <row r="25">
      <c r="B25" s="36" t="inlineStr">
        <is>
          <t>L202AC</t>
        </is>
      </c>
      <c r="C25" s="88" t="n">
        <v>136.97</v>
      </c>
      <c r="E25" s="36" t="inlineStr">
        <is>
          <t>L202AL</t>
        </is>
      </c>
      <c r="F25" s="88" t="n">
        <v>50.17</v>
      </c>
      <c r="G25" s="87" t="n"/>
      <c r="R25" s="87" t="n"/>
      <c r="S25" s="26" t="n"/>
      <c r="W25" s="26" t="n"/>
      <c r="X25" s="26" t="n"/>
    </row>
    <row r="26">
      <c r="B26" s="36" t="inlineStr">
        <is>
          <t>L302AB</t>
        </is>
      </c>
      <c r="C26" s="88" t="n">
        <v>60.75</v>
      </c>
      <c r="R26" s="87" t="n"/>
      <c r="W26" s="26" t="n"/>
    </row>
    <row r="27">
      <c r="B27" s="36" t="inlineStr">
        <is>
          <t>L304AB</t>
        </is>
      </c>
      <c r="C27" s="88" t="n">
        <v>50.02</v>
      </c>
      <c r="R27" s="87" t="n"/>
      <c r="W27" s="26" t="n"/>
    </row>
    <row r="28">
      <c r="B28" s="36" t="inlineStr">
        <is>
          <t>L322AB</t>
        </is>
      </c>
      <c r="C28" s="88" t="n">
        <v>70.67</v>
      </c>
      <c r="R28" s="87" t="n"/>
      <c r="W28" s="26" t="n"/>
    </row>
    <row r="29">
      <c r="B29" s="36" t="inlineStr">
        <is>
          <t>L324AB</t>
        </is>
      </c>
      <c r="C29" s="88" t="n">
        <v>52.3</v>
      </c>
      <c r="R29" s="87" t="n"/>
      <c r="W29" s="26" t="n"/>
    </row>
    <row r="30" ht="12.75" customHeight="1" s="158">
      <c r="B30" s="36" t="n"/>
    </row>
    <row r="31" ht="15.75" customHeight="1" s="158">
      <c r="A31" s="157" t="inlineStr">
        <is>
          <t xml:space="preserve">Seasons: </t>
        </is>
      </c>
      <c r="C31" t="inlineStr">
        <is>
          <t>Instructions: Enter first and last Julian date (365 day year) for each season in yellow cells.</t>
        </is>
      </c>
      <c r="K31" t="inlineStr">
        <is>
          <t>Example Seasons:</t>
        </is>
      </c>
    </row>
    <row r="32">
      <c r="B32" s="36" t="inlineStr">
        <is>
          <t>Heating:</t>
        </is>
      </c>
      <c r="C32" s="36" t="inlineStr">
        <is>
          <t>First day</t>
        </is>
      </c>
      <c r="D32" s="36" t="inlineStr">
        <is>
          <t>Last day</t>
        </is>
      </c>
      <c r="K32" s="36" t="inlineStr">
        <is>
          <t>Heating:</t>
        </is>
      </c>
      <c r="L32" s="29" t="n">
        <v>39696</v>
      </c>
      <c r="M32" s="29" t="n">
        <v>39548</v>
      </c>
    </row>
    <row r="33">
      <c r="C33" s="34" t="n">
        <v>1</v>
      </c>
      <c r="D33" s="34" t="n">
        <v>365</v>
      </c>
      <c r="L33" t="n">
        <v>248</v>
      </c>
      <c r="M33" t="n">
        <v>100</v>
      </c>
    </row>
    <row r="34">
      <c r="B34" s="36" t="inlineStr">
        <is>
          <t>Cooling:</t>
        </is>
      </c>
      <c r="C34" s="36" t="inlineStr">
        <is>
          <t>First day</t>
        </is>
      </c>
      <c r="D34" s="36" t="inlineStr">
        <is>
          <t>Last day</t>
        </is>
      </c>
      <c r="K34" s="36" t="inlineStr">
        <is>
          <t>Cooling:</t>
        </is>
      </c>
      <c r="L34" s="29" t="n">
        <v>39578</v>
      </c>
      <c r="M34" s="29" t="n">
        <v>39706</v>
      </c>
    </row>
    <row r="35">
      <c r="C35" s="34" t="n">
        <v>1</v>
      </c>
      <c r="D35" s="34" t="n">
        <v>365</v>
      </c>
      <c r="L35" t="n">
        <v>131</v>
      </c>
      <c r="M35" t="n">
        <v>258</v>
      </c>
    </row>
    <row r="36" ht="12.75" customHeight="1" s="158"/>
    <row r="37" hidden="1" s="158">
      <c r="A37" s="172" t="inlineStr">
        <is>
          <t>Statistics:</t>
        </is>
      </c>
      <c r="C37" t="inlineStr">
        <is>
          <t>Instructions:  select confidence interval from pull down list and enter</t>
        </is>
      </c>
    </row>
    <row r="38" hidden="1" s="158">
      <c r="A38" s="172" t="n"/>
      <c r="D38" t="inlineStr">
        <is>
          <t xml:space="preserve">    minimum range for criteria range bands</t>
        </is>
      </c>
    </row>
    <row r="39" hidden="1" s="158">
      <c r="B39" s="36" t="inlineStr">
        <is>
          <t>Conf.Interval:</t>
        </is>
      </c>
      <c r="C39" s="69" t="n">
        <v>0.9</v>
      </c>
    </row>
    <row r="40" hidden="1" s="158">
      <c r="B40" s="36" t="inlineStr">
        <is>
          <t>min range:</t>
        </is>
      </c>
      <c r="C40" s="70" t="n">
        <v>4</v>
      </c>
      <c r="D40" t="inlineStr">
        <is>
          <t>10^6 Btu</t>
        </is>
      </c>
    </row>
    <row r="41" hidden="1" s="158">
      <c r="S41" s="55" t="n"/>
      <c r="T41" s="82" t="n"/>
      <c r="U41" s="82" t="n"/>
      <c r="V41" s="82" t="n"/>
    </row>
    <row r="42" hidden="1" s="158">
      <c r="B42" s="165" t="inlineStr">
        <is>
          <t>t_c</t>
        </is>
      </c>
      <c r="C42" s="165" t="inlineStr">
        <is>
          <t>n</t>
        </is>
      </c>
      <c r="D42" s="53" t="n">
        <v>0.8</v>
      </c>
      <c r="E42" s="53" t="n">
        <v>0.9</v>
      </c>
      <c r="F42" s="53" t="n">
        <v>0.95</v>
      </c>
      <c r="G42" s="53" t="n"/>
      <c r="H42" s="53" t="n"/>
    </row>
    <row r="43" hidden="1" s="158">
      <c r="B43" s="165">
        <f>IF(C39=D42,D43,IF(C39=E42,E43,IF(C39=F42,F43,0)))</f>
        <v/>
      </c>
      <c r="C43" s="165" t="n">
        <v>3</v>
      </c>
      <c r="D43" s="82" t="n">
        <v>1.886</v>
      </c>
      <c r="E43" s="82" t="n">
        <v>2.92</v>
      </c>
      <c r="F43" s="82" t="n">
        <v>4.303</v>
      </c>
      <c r="G43" s="82" t="n"/>
      <c r="H43" s="82" t="n"/>
      <c r="S43" s="55" t="n"/>
      <c r="T43" s="82" t="n"/>
      <c r="U43" s="82" t="n"/>
      <c r="V43" s="82" t="n"/>
    </row>
    <row r="44">
      <c r="S44" s="55" t="n"/>
      <c r="T44" s="82" t="n"/>
      <c r="U44" s="82" t="n"/>
      <c r="V44" s="82" t="n"/>
    </row>
    <row r="45">
      <c r="S45" s="55" t="n"/>
      <c r="T45" s="82" t="n"/>
      <c r="U45" s="82" t="n"/>
      <c r="V45" s="82" t="n"/>
    </row>
    <row r="46">
      <c r="S46" s="55" t="n"/>
      <c r="T46" s="82" t="n"/>
      <c r="U46" s="82" t="n"/>
      <c r="V46" s="82" t="n"/>
    </row>
    <row r="47">
      <c r="S47" s="55" t="n"/>
      <c r="T47" s="82" t="n"/>
      <c r="U47" s="82" t="n"/>
      <c r="V47" s="82" t="n"/>
    </row>
  </sheetData>
  <mergeCells count="3">
    <mergeCell ref="A1:E1"/>
    <mergeCell ref="E6:G6"/>
    <mergeCell ref="E3:G3"/>
  </mergeCells>
  <dataValidations count="1">
    <dataValidation sqref="C39" showDropDown="0" showInputMessage="1" showErrorMessage="1" allowBlank="1" type="list">
      <formula1>$D$42:$F$42</formula1>
    </dataValidation>
  </dataValidations>
  <pageMargins left="0.75" right="0.75" top="1" bottom="1" header="0.5" footer="0.5"/>
  <pageSetup orientation="portrait"/>
</worksheet>
</file>

<file path=xl/worksheets/sheet2.xml><?xml version="1.0" encoding="utf-8"?>
<worksheet xmlns="http://schemas.openxmlformats.org/spreadsheetml/2006/main">
  <sheetPr>
    <outlinePr summaryBelow="1" summaryRight="1"/>
    <pageSetUpPr/>
  </sheetPr>
  <dimension ref="A1:I128"/>
  <sheetViews>
    <sheetView zoomScaleNormal="100" workbookViewId="0">
      <pane ySplit="1" topLeftCell="A2" activePane="bottomLeft" state="frozen"/>
      <selection pane="bottomLeft" activeCell="A2" sqref="A2"/>
    </sheetView>
  </sheetViews>
  <sheetFormatPr baseColWidth="8" defaultRowHeight="12.75"/>
  <cols>
    <col width="3" customWidth="1" style="158" min="1" max="1"/>
    <col width="15.5703125" customWidth="1" style="158" min="2" max="2"/>
    <col width="9.85546875" customWidth="1" style="158" min="9" max="9"/>
    <col width="3.28515625" customWidth="1" style="158" min="10" max="10"/>
    <col width="10.28515625" customWidth="1" style="158" min="11" max="11"/>
  </cols>
  <sheetData>
    <row r="1" ht="15.75" customHeight="1" s="158">
      <c r="A1" s="164" t="inlineStr">
        <is>
          <t>Example Results Seasonal Loads</t>
        </is>
      </c>
    </row>
    <row r="2" ht="25.5" customHeight="1" s="158">
      <c r="B2" s="162" t="inlineStr">
        <is>
          <t>Table B20-1.  HERS BESTEST Tier-1 Example Results – Annual or Seasonal Heating Loads (10^6 Btu/y) for Colorado Springs, CO</t>
        </is>
      </c>
      <c r="C2" s="163" t="n"/>
      <c r="D2" s="163" t="n"/>
      <c r="E2" s="163" t="n"/>
      <c r="F2" s="163" t="n"/>
      <c r="G2" s="163" t="n"/>
      <c r="H2" s="163" t="n"/>
      <c r="I2" s="163" t="n"/>
    </row>
    <row r="3">
      <c r="B3" s="122" t="inlineStr">
        <is>
          <t>Example Results:</t>
        </is>
      </c>
      <c r="C3" s="160" t="n"/>
      <c r="D3" s="160" t="n"/>
      <c r="E3" s="161" t="n"/>
      <c r="F3" s="159" t="inlineStr">
        <is>
          <t>Statistics:</t>
        </is>
      </c>
      <c r="G3" s="160" t="n"/>
      <c r="H3" s="160" t="n"/>
      <c r="I3" s="99" t="n"/>
    </row>
    <row r="4" ht="27.6" customFormat="1" customHeight="1" s="146">
      <c r="B4" s="40" t="inlineStr">
        <is>
          <t>Test Case</t>
        </is>
      </c>
      <c r="C4" s="42" t="inlineStr">
        <is>
          <t>BLAST 3.0</t>
        </is>
      </c>
      <c r="D4" s="43" t="inlineStr">
        <is>
          <t>DOE
2.1E</t>
        </is>
      </c>
      <c r="E4" s="44" t="inlineStr">
        <is>
          <t>SERIRES 5.7</t>
        </is>
      </c>
      <c r="F4" s="42" t="inlineStr">
        <is>
          <t>min</t>
        </is>
      </c>
      <c r="G4" s="43" t="inlineStr">
        <is>
          <t>max</t>
        </is>
      </c>
      <c r="H4" s="91" t="inlineStr">
        <is>
          <t>mean</t>
        </is>
      </c>
      <c r="I4" s="96" t="inlineStr">
        <is>
          <t>(max -min)
/mean**</t>
        </is>
      </c>
    </row>
    <row r="5">
      <c r="B5" s="41" t="inlineStr">
        <is>
          <t>L100AC</t>
        </is>
      </c>
      <c r="C5" s="45">
        <f>'BLAST-HtgRes'!C$30</f>
        <v/>
      </c>
      <c r="D5" s="46">
        <f>'DOE-HtgRes'!C$30</f>
        <v/>
      </c>
      <c r="E5" s="47">
        <f>'SRES-HtgRes'!C$30</f>
        <v/>
      </c>
      <c r="F5" s="45">
        <f>MIN(C5:E5)</f>
        <v/>
      </c>
      <c r="G5" s="46">
        <f>MAX(C5:E5)</f>
        <v/>
      </c>
      <c r="H5" s="92">
        <f>AVERAGE(C5:E5)</f>
        <v/>
      </c>
      <c r="I5" s="97">
        <f>ABS((G5-F5)/AVERAGE(C5:E5))</f>
        <v/>
      </c>
    </row>
    <row r="6">
      <c r="B6" s="41" t="inlineStr">
        <is>
          <t>L110AC</t>
        </is>
      </c>
      <c r="C6" s="45">
        <f>'BLAST-HtgRes'!D$30</f>
        <v/>
      </c>
      <c r="D6" s="46">
        <f>'DOE-HtgRes'!D$30</f>
        <v/>
      </c>
      <c r="E6" s="47">
        <f>'SRES-HtgRes'!D$30</f>
        <v/>
      </c>
      <c r="F6" s="45">
        <f>MIN(C6:E6)</f>
        <v/>
      </c>
      <c r="G6" s="46">
        <f>MAX(C6:E6)</f>
        <v/>
      </c>
      <c r="H6" s="92">
        <f>AVERAGE(C6:E6)</f>
        <v/>
      </c>
      <c r="I6" s="97">
        <f>ABS((G6-F6)/AVERAGE(C6:E6))</f>
        <v/>
      </c>
    </row>
    <row r="7">
      <c r="B7" s="41" t="inlineStr">
        <is>
          <t>L120AC</t>
        </is>
      </c>
      <c r="C7" s="45">
        <f>'BLAST-HtgRes'!E$30</f>
        <v/>
      </c>
      <c r="D7" s="46">
        <f>'DOE-HtgRes'!E$30</f>
        <v/>
      </c>
      <c r="E7" s="47">
        <f>'SRES-HtgRes'!E$30</f>
        <v/>
      </c>
      <c r="F7" s="45">
        <f>MIN(C7:E7)</f>
        <v/>
      </c>
      <c r="G7" s="46">
        <f>MAX(C7:E7)</f>
        <v/>
      </c>
      <c r="H7" s="92">
        <f>AVERAGE(C7:E7)</f>
        <v/>
      </c>
      <c r="I7" s="97">
        <f>ABS((G7-F7)/AVERAGE(C7:E7))</f>
        <v/>
      </c>
    </row>
    <row r="8">
      <c r="B8" s="41" t="inlineStr">
        <is>
          <t>L130AC</t>
        </is>
      </c>
      <c r="C8" s="45">
        <f>'BLAST-HtgRes'!F$30</f>
        <v/>
      </c>
      <c r="D8" s="46">
        <f>'DOE-HtgRes'!F$30</f>
        <v/>
      </c>
      <c r="E8" s="47">
        <f>'SRES-HtgRes'!F$30</f>
        <v/>
      </c>
      <c r="F8" s="45">
        <f>MIN(C8:E8)</f>
        <v/>
      </c>
      <c r="G8" s="46">
        <f>MAX(C8:E8)</f>
        <v/>
      </c>
      <c r="H8" s="92">
        <f>AVERAGE(C8:E8)</f>
        <v/>
      </c>
      <c r="I8" s="97">
        <f>ABS((G8-F8)/AVERAGE(C8:E8))</f>
        <v/>
      </c>
    </row>
    <row r="9">
      <c r="B9" s="41" t="inlineStr">
        <is>
          <t>L140AC</t>
        </is>
      </c>
      <c r="C9" s="45">
        <f>'BLAST-HtgRes'!G$30</f>
        <v/>
      </c>
      <c r="D9" s="46">
        <f>'DOE-HtgRes'!G$30</f>
        <v/>
      </c>
      <c r="E9" s="47">
        <f>'SRES-HtgRes'!G$30</f>
        <v/>
      </c>
      <c r="F9" s="45">
        <f>MIN(C9:E9)</f>
        <v/>
      </c>
      <c r="G9" s="46">
        <f>MAX(C9:E9)</f>
        <v/>
      </c>
      <c r="H9" s="92">
        <f>AVERAGE(C9:E9)</f>
        <v/>
      </c>
      <c r="I9" s="97">
        <f>ABS((G9-F9)/AVERAGE(C9:E9))</f>
        <v/>
      </c>
    </row>
    <row r="10">
      <c r="B10" s="41" t="inlineStr">
        <is>
          <t>L150AC</t>
        </is>
      </c>
      <c r="C10" s="45">
        <f>'BLAST-HtgRes'!H$30</f>
        <v/>
      </c>
      <c r="D10" s="46">
        <f>'DOE-HtgRes'!H$30</f>
        <v/>
      </c>
      <c r="E10" s="47">
        <f>'SRES-HtgRes'!H$30</f>
        <v/>
      </c>
      <c r="F10" s="45">
        <f>MIN(C10:E10)</f>
        <v/>
      </c>
      <c r="G10" s="46">
        <f>MAX(C10:E10)</f>
        <v/>
      </c>
      <c r="H10" s="92">
        <f>AVERAGE(C10:E10)</f>
        <v/>
      </c>
      <c r="I10" s="97">
        <f>ABS((G10-F10)/AVERAGE(C10:E10))</f>
        <v/>
      </c>
    </row>
    <row r="11">
      <c r="B11" s="41" t="inlineStr">
        <is>
          <t>L155AC</t>
        </is>
      </c>
      <c r="C11" s="45">
        <f>'BLAST-HtgRes'!I$30</f>
        <v/>
      </c>
      <c r="D11" s="46">
        <f>'DOE-HtgRes'!I$30</f>
        <v/>
      </c>
      <c r="E11" s="47">
        <f>'SRES-HtgRes'!I$30</f>
        <v/>
      </c>
      <c r="F11" s="45">
        <f>MIN(C11:E11)</f>
        <v/>
      </c>
      <c r="G11" s="46">
        <f>MAX(C11:E11)</f>
        <v/>
      </c>
      <c r="H11" s="92">
        <f>AVERAGE(C11:E11)</f>
        <v/>
      </c>
      <c r="I11" s="97">
        <f>ABS((G11-F11)/AVERAGE(C11:E11))</f>
        <v/>
      </c>
    </row>
    <row r="12">
      <c r="B12" s="41" t="inlineStr">
        <is>
          <t>L160AC</t>
        </is>
      </c>
      <c r="C12" s="45">
        <f>'BLAST-HtgRes'!J$30</f>
        <v/>
      </c>
      <c r="D12" s="46">
        <f>'DOE-HtgRes'!J$30</f>
        <v/>
      </c>
      <c r="E12" s="47">
        <f>'SRES-HtgRes'!J$30</f>
        <v/>
      </c>
      <c r="F12" s="45">
        <f>MIN(C12:E12)</f>
        <v/>
      </c>
      <c r="G12" s="46">
        <f>MAX(C12:E12)</f>
        <v/>
      </c>
      <c r="H12" s="92">
        <f>AVERAGE(C12:E12)</f>
        <v/>
      </c>
      <c r="I12" s="97">
        <f>ABS((G12-F12)/AVERAGE(C12:E12))</f>
        <v/>
      </c>
    </row>
    <row r="13">
      <c r="B13" s="41" t="inlineStr">
        <is>
          <t>L170AC</t>
        </is>
      </c>
      <c r="C13" s="45">
        <f>'BLAST-HtgRes'!K$30</f>
        <v/>
      </c>
      <c r="D13" s="46">
        <f>'DOE-HtgRes'!K$30</f>
        <v/>
      </c>
      <c r="E13" s="47">
        <f>'SRES-HtgRes'!K$30</f>
        <v/>
      </c>
      <c r="F13" s="45">
        <f>MIN(C13:E13)</f>
        <v/>
      </c>
      <c r="G13" s="46">
        <f>MAX(C13:E13)</f>
        <v/>
      </c>
      <c r="H13" s="92">
        <f>AVERAGE(C13:E13)</f>
        <v/>
      </c>
      <c r="I13" s="97">
        <f>ABS((G13-F13)/AVERAGE(C13:E13))</f>
        <v/>
      </c>
    </row>
    <row r="14">
      <c r="B14" s="41" t="inlineStr">
        <is>
          <t>L200AC</t>
        </is>
      </c>
      <c r="C14" s="45">
        <f>'BLAST-HtgRes'!L$30</f>
        <v/>
      </c>
      <c r="D14" s="46">
        <f>'DOE-HtgRes'!L$30</f>
        <v/>
      </c>
      <c r="E14" s="47">
        <f>'SRES-HtgRes'!L$30</f>
        <v/>
      </c>
      <c r="F14" s="45">
        <f>MIN(C14:E14)</f>
        <v/>
      </c>
      <c r="G14" s="46">
        <f>MAX(C14:E14)</f>
        <v/>
      </c>
      <c r="H14" s="92">
        <f>AVERAGE(C14:E14)</f>
        <v/>
      </c>
      <c r="I14" s="97">
        <f>ABS((G14-F14)/AVERAGE(C14:E14))</f>
        <v/>
      </c>
    </row>
    <row r="15">
      <c r="B15" s="41" t="inlineStr">
        <is>
          <t>L202AC</t>
        </is>
      </c>
      <c r="C15" s="45">
        <f>'BLAST-HtgRes'!M$30</f>
        <v/>
      </c>
      <c r="D15" s="46">
        <f>'DOE-HtgRes'!M$30</f>
        <v/>
      </c>
      <c r="E15" s="47">
        <f>'SRES-HtgRes'!M$30</f>
        <v/>
      </c>
      <c r="F15" s="45">
        <f>MIN(C15:E15)</f>
        <v/>
      </c>
      <c r="G15" s="46">
        <f>MAX(C15:E15)</f>
        <v/>
      </c>
      <c r="H15" s="92">
        <f>AVERAGE(C15:E15)</f>
        <v/>
      </c>
      <c r="I15" s="97">
        <f>ABS((G15-F15)/AVERAGE(C15:E15))</f>
        <v/>
      </c>
    </row>
    <row r="16">
      <c r="B16" s="41" t="inlineStr">
        <is>
          <t>L302AC</t>
        </is>
      </c>
      <c r="C16" s="45">
        <f>'BLAST-HtgRes'!N$30</f>
        <v/>
      </c>
      <c r="D16" s="46">
        <f>'DOE-HtgRes'!N$30</f>
        <v/>
      </c>
      <c r="E16" s="47">
        <f>'SRES-HtgRes'!N$30</f>
        <v/>
      </c>
      <c r="F16" s="45">
        <f>MIN(C16:E16)</f>
        <v/>
      </c>
      <c r="G16" s="46">
        <f>MAX(C16:E16)</f>
        <v/>
      </c>
      <c r="H16" s="92">
        <f>AVERAGE(C16:E16)</f>
        <v/>
      </c>
      <c r="I16" s="97">
        <f>ABS((G16-F16)/AVERAGE(C16:E16))</f>
        <v/>
      </c>
    </row>
    <row r="17">
      <c r="B17" s="41" t="inlineStr">
        <is>
          <t>L302BC</t>
        </is>
      </c>
      <c r="C17" s="45">
        <f>'BLAST-HtgRes'!O$30</f>
        <v/>
      </c>
      <c r="D17" s="46">
        <f>'DOE-HtgRes'!O$30</f>
        <v/>
      </c>
      <c r="E17" s="47">
        <f>'SRES-HtgRes'!O$30</f>
        <v/>
      </c>
      <c r="F17" s="45">
        <f>MIN(C17:E17)</f>
        <v/>
      </c>
      <c r="G17" s="46">
        <f>MAX(C17:E17)</f>
        <v/>
      </c>
      <c r="H17" s="92">
        <f>AVERAGE(C17:E17)</f>
        <v/>
      </c>
      <c r="I17" s="97">
        <f>ABS((G17-F17)/AVERAGE(C17:E17))</f>
        <v/>
      </c>
    </row>
    <row r="18">
      <c r="B18" s="41" t="inlineStr">
        <is>
          <t>L304AC</t>
        </is>
      </c>
      <c r="C18" s="45">
        <f>'BLAST-HtgRes'!P$30</f>
        <v/>
      </c>
      <c r="D18" s="46">
        <f>'DOE-HtgRes'!P$30</f>
        <v/>
      </c>
      <c r="E18" s="47">
        <f>'SRES-HtgRes'!P$30</f>
        <v/>
      </c>
      <c r="F18" s="45">
        <f>MIN(C18:E18)</f>
        <v/>
      </c>
      <c r="G18" s="46">
        <f>MAX(C18:E18)</f>
        <v/>
      </c>
      <c r="H18" s="92">
        <f>AVERAGE(C18:E18)</f>
        <v/>
      </c>
      <c r="I18" s="97">
        <f>ABS((G18-F18)/AVERAGE(C18:E18))</f>
        <v/>
      </c>
    </row>
    <row r="19">
      <c r="B19" s="41" t="inlineStr">
        <is>
          <t>L304BC</t>
        </is>
      </c>
      <c r="C19" s="45">
        <f>'BLAST-HtgRes'!Q$30</f>
        <v/>
      </c>
      <c r="D19" s="46">
        <f>'DOE-HtgRes'!Q$30</f>
        <v/>
      </c>
      <c r="E19" s="47">
        <f>'SRES-HtgRes'!Q$30</f>
        <v/>
      </c>
      <c r="F19" s="45">
        <f>MIN(C19:E19)</f>
        <v/>
      </c>
      <c r="G19" s="46">
        <f>MAX(C19:E19)</f>
        <v/>
      </c>
      <c r="H19" s="92">
        <f>AVERAGE(C19:E19)</f>
        <v/>
      </c>
      <c r="I19" s="97">
        <f>ABS((G19-F19)/AVERAGE(C19:E19))</f>
        <v/>
      </c>
    </row>
    <row r="20">
      <c r="B20" s="41" t="inlineStr">
        <is>
          <t>L322A1</t>
        </is>
      </c>
      <c r="C20" s="45">
        <f>'BLAST-HtgRes'!R$30</f>
        <v/>
      </c>
      <c r="D20" s="46">
        <f>'DOE-HtgRes'!R$30</f>
        <v/>
      </c>
      <c r="E20" s="47">
        <f>'SRES-HtgRes'!R$30</f>
        <v/>
      </c>
      <c r="F20" s="45">
        <f>MIN(C20:E20)</f>
        <v/>
      </c>
      <c r="G20" s="46">
        <f>MAX(C20:E20)</f>
        <v/>
      </c>
      <c r="H20" s="92">
        <f>AVERAGE(C20:E20)</f>
        <v/>
      </c>
      <c r="I20" s="97">
        <f>ABS((G20-F20)/AVERAGE(C20:E20))</f>
        <v/>
      </c>
    </row>
    <row r="21">
      <c r="B21" s="41" t="inlineStr">
        <is>
          <t>L322A2</t>
        </is>
      </c>
      <c r="C21" s="45">
        <f>'BLAST-HtgRes'!S$30</f>
        <v/>
      </c>
      <c r="D21" s="46">
        <f>'DOE-HtgRes'!S$30</f>
        <v/>
      </c>
      <c r="E21" s="47">
        <f>'SRES-HtgRes'!S$30</f>
        <v/>
      </c>
      <c r="F21" s="45">
        <f>MIN(C21:E21)</f>
        <v/>
      </c>
      <c r="G21" s="46">
        <f>MAX(C21:E21)</f>
        <v/>
      </c>
      <c r="H21" s="92">
        <f>AVERAGE(C21:E21)</f>
        <v/>
      </c>
      <c r="I21" s="97">
        <f>ABS((G21-F21)/AVERAGE(C21:E21))</f>
        <v/>
      </c>
    </row>
    <row r="22">
      <c r="B22" s="41" t="inlineStr">
        <is>
          <t>L322B1</t>
        </is>
      </c>
      <c r="C22" s="45">
        <f>'BLAST-HtgRes'!T$30</f>
        <v/>
      </c>
      <c r="D22" s="46">
        <f>'DOE-HtgRes'!T$30</f>
        <v/>
      </c>
      <c r="E22" s="47">
        <f>'SRES-HtgRes'!T$30</f>
        <v/>
      </c>
      <c r="F22" s="45">
        <f>MIN(C22:E22)</f>
        <v/>
      </c>
      <c r="G22" s="46">
        <f>MAX(C22:E22)</f>
        <v/>
      </c>
      <c r="H22" s="92">
        <f>AVERAGE(C22:E22)</f>
        <v/>
      </c>
      <c r="I22" s="97">
        <f>ABS((G22-F22)/AVERAGE(C22:E22))</f>
        <v/>
      </c>
    </row>
    <row r="23">
      <c r="B23" s="41" t="inlineStr">
        <is>
          <t>L322B2</t>
        </is>
      </c>
      <c r="C23" s="45">
        <f>'BLAST-HtgRes'!U$30</f>
        <v/>
      </c>
      <c r="D23" s="46">
        <f>'DOE-HtgRes'!U$30</f>
        <v/>
      </c>
      <c r="E23" s="47">
        <f>'SRES-HtgRes'!U$30</f>
        <v/>
      </c>
      <c r="F23" s="45">
        <f>MIN(C23:E23)</f>
        <v/>
      </c>
      <c r="G23" s="46">
        <f>MAX(C23:E23)</f>
        <v/>
      </c>
      <c r="H23" s="92">
        <f>AVERAGE(C23:E23)</f>
        <v/>
      </c>
      <c r="I23" s="97">
        <f>ABS((G23-F23)/AVERAGE(C23:E23))</f>
        <v/>
      </c>
    </row>
    <row r="24">
      <c r="B24" s="41" t="inlineStr">
        <is>
          <t>L324A1</t>
        </is>
      </c>
      <c r="C24" s="45">
        <f>'BLAST-HtgRes'!V$30</f>
        <v/>
      </c>
      <c r="D24" s="46">
        <f>'DOE-HtgRes'!V$30</f>
        <v/>
      </c>
      <c r="E24" s="47">
        <f>'SRES-HtgRes'!V$30</f>
        <v/>
      </c>
      <c r="F24" s="45">
        <f>MIN(C24:E24)</f>
        <v/>
      </c>
      <c r="G24" s="46">
        <f>MAX(C24:E24)</f>
        <v/>
      </c>
      <c r="H24" s="92">
        <f>AVERAGE(C24:E24)</f>
        <v/>
      </c>
      <c r="I24" s="97">
        <f>ABS((G24-F24)/AVERAGE(C24:E24))</f>
        <v/>
      </c>
    </row>
    <row r="25">
      <c r="B25" s="41" t="inlineStr">
        <is>
          <t>L324A2</t>
        </is>
      </c>
      <c r="C25" s="45">
        <f>'BLAST-HtgRes'!W$30</f>
        <v/>
      </c>
      <c r="D25" s="46">
        <f>'DOE-HtgRes'!W$30</f>
        <v/>
      </c>
      <c r="E25" s="47">
        <f>'SRES-HtgRes'!W$30</f>
        <v/>
      </c>
      <c r="F25" s="45">
        <f>MIN(C25:E25)</f>
        <v/>
      </c>
      <c r="G25" s="46">
        <f>MAX(C25:E25)</f>
        <v/>
      </c>
      <c r="H25" s="92">
        <f>AVERAGE(C25:E25)</f>
        <v/>
      </c>
      <c r="I25" s="97">
        <f>ABS((G25-F25)/AVERAGE(C25:E25))</f>
        <v/>
      </c>
    </row>
    <row r="26">
      <c r="B26" s="41" t="inlineStr">
        <is>
          <t>L324B1</t>
        </is>
      </c>
      <c r="C26" s="45">
        <f>'BLAST-HtgRes'!X$30</f>
        <v/>
      </c>
      <c r="D26" s="46">
        <f>'DOE-HtgRes'!X$30</f>
        <v/>
      </c>
      <c r="E26" s="47">
        <f>'SRES-HtgRes'!X$30</f>
        <v/>
      </c>
      <c r="F26" s="45">
        <f>MIN(C26:E26)</f>
        <v/>
      </c>
      <c r="G26" s="46">
        <f>MAX(C26:E26)</f>
        <v/>
      </c>
      <c r="H26" s="92">
        <f>AVERAGE(C26:E26)</f>
        <v/>
      </c>
      <c r="I26" s="97">
        <f>ABS((G26-F26)/AVERAGE(C26:E26))</f>
        <v/>
      </c>
    </row>
    <row r="27">
      <c r="B27" s="59" t="inlineStr">
        <is>
          <t>L324B2</t>
        </is>
      </c>
      <c r="C27" s="48">
        <f>'BLAST-HtgRes'!Y$30</f>
        <v/>
      </c>
      <c r="D27" s="49">
        <f>'DOE-HtgRes'!Y$30</f>
        <v/>
      </c>
      <c r="E27" s="50">
        <f>'SRES-HtgRes'!Y$30</f>
        <v/>
      </c>
      <c r="F27" s="48">
        <f>MIN(C27:E27)</f>
        <v/>
      </c>
      <c r="G27" s="49">
        <f>MAX(C27:E27)</f>
        <v/>
      </c>
      <c r="H27" s="93">
        <f>AVERAGE(C27:E27)</f>
        <v/>
      </c>
      <c r="I27" s="98">
        <f>ABS((G27-F27)/AVERAGE(C27:E27))</f>
        <v/>
      </c>
    </row>
    <row r="28">
      <c r="B28" s="100" t="inlineStr">
        <is>
          <t>** ABS [(max - min) / (mean of Example Results)]</t>
        </is>
      </c>
    </row>
    <row r="29">
      <c r="B29" s="81" t="n"/>
    </row>
    <row r="30" ht="25.5" customHeight="1" s="158">
      <c r="B30" s="162" t="inlineStr">
        <is>
          <t>Table B20-2.  HERS BESTEST Tier-1 Example Results – Delta Annual or Seasonal Heating Loads (10^6 Btu/y) for Colorado Springs, CO</t>
        </is>
      </c>
      <c r="C30" s="163" t="n"/>
      <c r="D30" s="163" t="n"/>
      <c r="E30" s="163" t="n"/>
      <c r="F30" s="163" t="n"/>
      <c r="G30" s="163" t="n"/>
      <c r="H30" s="163" t="n"/>
      <c r="I30" s="163" t="n"/>
    </row>
    <row r="31">
      <c r="B31" s="122" t="inlineStr">
        <is>
          <t>Example Results:</t>
        </is>
      </c>
      <c r="C31" s="160" t="n"/>
      <c r="D31" s="160" t="n"/>
      <c r="E31" s="161" t="n"/>
      <c r="F31" s="159" t="inlineStr">
        <is>
          <t>Statistics:</t>
        </is>
      </c>
      <c r="G31" s="160" t="n"/>
      <c r="H31" s="160" t="n"/>
      <c r="I31" s="99" t="n"/>
    </row>
    <row r="32" ht="27.6" customHeight="1" s="158">
      <c r="B32" s="66" t="inlineStr">
        <is>
          <t>Test Case Delta</t>
        </is>
      </c>
      <c r="C32" s="42" t="inlineStr">
        <is>
          <t>BLAST 3.0</t>
        </is>
      </c>
      <c r="D32" s="43" t="inlineStr">
        <is>
          <t>DOE
2.1E</t>
        </is>
      </c>
      <c r="E32" s="44" t="inlineStr">
        <is>
          <t>SERIRES 5.7</t>
        </is>
      </c>
      <c r="F32" s="42" t="inlineStr">
        <is>
          <t>min</t>
        </is>
      </c>
      <c r="G32" s="43" t="inlineStr">
        <is>
          <t>max</t>
        </is>
      </c>
      <c r="H32" s="91" t="inlineStr">
        <is>
          <t>mean</t>
        </is>
      </c>
      <c r="I32" s="96" t="inlineStr">
        <is>
          <t>(max -min)
/mean**</t>
        </is>
      </c>
    </row>
    <row r="33">
      <c r="B33" s="67" t="inlineStr">
        <is>
          <t>L110AC-L100AC</t>
        </is>
      </c>
      <c r="C33" s="45">
        <f>C6-C5</f>
        <v/>
      </c>
      <c r="D33" s="46">
        <f>D6-D5</f>
        <v/>
      </c>
      <c r="E33" s="47">
        <f>E6-E5</f>
        <v/>
      </c>
      <c r="F33" s="45">
        <f>MIN(C33:E33)</f>
        <v/>
      </c>
      <c r="G33" s="46">
        <f>MAX(C33:E33)</f>
        <v/>
      </c>
      <c r="H33" s="92">
        <f>AVERAGE(C33:E33)</f>
        <v/>
      </c>
      <c r="I33" s="97">
        <f>ABS((G33-F33)/AVERAGE(C33:E33))</f>
        <v/>
      </c>
    </row>
    <row r="34">
      <c r="B34" s="67" t="inlineStr">
        <is>
          <t>L120AC-L100AC</t>
        </is>
      </c>
      <c r="C34" s="45">
        <f>C7-C5</f>
        <v/>
      </c>
      <c r="D34" s="46">
        <f>D7-D5</f>
        <v/>
      </c>
      <c r="E34" s="47">
        <f>E7-E5</f>
        <v/>
      </c>
      <c r="F34" s="45">
        <f>MIN(C34:E34)</f>
        <v/>
      </c>
      <c r="G34" s="46">
        <f>MAX(C34:E34)</f>
        <v/>
      </c>
      <c r="H34" s="92">
        <f>AVERAGE(C34:E34)</f>
        <v/>
      </c>
      <c r="I34" s="97">
        <f>ABS((G34-F34)/AVERAGE(C34:E34))</f>
        <v/>
      </c>
    </row>
    <row r="35">
      <c r="B35" s="67" t="inlineStr">
        <is>
          <t>L130AC-L100AC</t>
        </is>
      </c>
      <c r="C35" s="45">
        <f>C8-C5</f>
        <v/>
      </c>
      <c r="D35" s="46">
        <f>D8-D5</f>
        <v/>
      </c>
      <c r="E35" s="47">
        <f>E8-E5</f>
        <v/>
      </c>
      <c r="F35" s="45">
        <f>MIN(C35:E35)</f>
        <v/>
      </c>
      <c r="G35" s="46">
        <f>MAX(C35:E35)</f>
        <v/>
      </c>
      <c r="H35" s="92">
        <f>AVERAGE(C35:E35)</f>
        <v/>
      </c>
      <c r="I35" s="97">
        <f>ABS((G35-F35)/AVERAGE(C35:E35))</f>
        <v/>
      </c>
    </row>
    <row r="36">
      <c r="B36" s="67" t="inlineStr">
        <is>
          <t>L140AC-L100AC</t>
        </is>
      </c>
      <c r="C36" s="45">
        <f>C9-C5</f>
        <v/>
      </c>
      <c r="D36" s="46">
        <f>D9-D5</f>
        <v/>
      </c>
      <c r="E36" s="47">
        <f>E9-E5</f>
        <v/>
      </c>
      <c r="F36" s="45">
        <f>MIN(C36:E36)</f>
        <v/>
      </c>
      <c r="G36" s="46">
        <f>MAX(C36:E36)</f>
        <v/>
      </c>
      <c r="H36" s="92">
        <f>AVERAGE(C36:E36)</f>
        <v/>
      </c>
      <c r="I36" s="97">
        <f>ABS((G36-F36)/AVERAGE(C36:E36))</f>
        <v/>
      </c>
    </row>
    <row r="37">
      <c r="B37" s="67" t="inlineStr">
        <is>
          <t>L150AC-L100AC</t>
        </is>
      </c>
      <c r="C37" s="45">
        <f>C10-C5</f>
        <v/>
      </c>
      <c r="D37" s="46">
        <f>D10-D5</f>
        <v/>
      </c>
      <c r="E37" s="47">
        <f>E10-E5</f>
        <v/>
      </c>
      <c r="F37" s="45">
        <f>MIN(C37:E37)</f>
        <v/>
      </c>
      <c r="G37" s="46">
        <f>MAX(C37:E37)</f>
        <v/>
      </c>
      <c r="H37" s="92">
        <f>AVERAGE(C37:E37)</f>
        <v/>
      </c>
      <c r="I37" s="97">
        <f>ABS((G37-F37)/AVERAGE(C37:E37))</f>
        <v/>
      </c>
    </row>
    <row r="38">
      <c r="B38" s="67" t="inlineStr">
        <is>
          <t>L155AC-L150AC</t>
        </is>
      </c>
      <c r="C38" s="45">
        <f>C11-C10</f>
        <v/>
      </c>
      <c r="D38" s="46">
        <f>D11-D10</f>
        <v/>
      </c>
      <c r="E38" s="47">
        <f>E11-E10</f>
        <v/>
      </c>
      <c r="F38" s="45">
        <f>MIN(C38:E38)</f>
        <v/>
      </c>
      <c r="G38" s="46">
        <f>MAX(C38:E38)</f>
        <v/>
      </c>
      <c r="H38" s="92">
        <f>AVERAGE(C38:E38)</f>
        <v/>
      </c>
      <c r="I38" s="97">
        <f>ABS((G38-F38)/AVERAGE(C38:E38))</f>
        <v/>
      </c>
    </row>
    <row r="39">
      <c r="B39" s="67" t="inlineStr">
        <is>
          <t>L160AC-L100AC</t>
        </is>
      </c>
      <c r="C39" s="45">
        <f>C12-C5</f>
        <v/>
      </c>
      <c r="D39" s="46">
        <f>D12-D5</f>
        <v/>
      </c>
      <c r="E39" s="47">
        <f>E12-E5</f>
        <v/>
      </c>
      <c r="F39" s="45">
        <f>MIN(C39:E39)</f>
        <v/>
      </c>
      <c r="G39" s="46">
        <f>MAX(C39:E39)</f>
        <v/>
      </c>
      <c r="H39" s="92">
        <f>AVERAGE(C39:E39)</f>
        <v/>
      </c>
      <c r="I39" s="97">
        <f>ABS((G39-F39)/AVERAGE(C39:E39))</f>
        <v/>
      </c>
    </row>
    <row r="40">
      <c r="B40" s="67" t="inlineStr">
        <is>
          <t>L170AC-L100AC</t>
        </is>
      </c>
      <c r="C40" s="45">
        <f>C13-C5</f>
        <v/>
      </c>
      <c r="D40" s="46">
        <f>D13-D5</f>
        <v/>
      </c>
      <c r="E40" s="47">
        <f>E13-E5</f>
        <v/>
      </c>
      <c r="F40" s="45">
        <f>MIN(C40:E40)</f>
        <v/>
      </c>
      <c r="G40" s="46">
        <f>MAX(C40:E40)</f>
        <v/>
      </c>
      <c r="H40" s="92">
        <f>AVERAGE(C40:E40)</f>
        <v/>
      </c>
      <c r="I40" s="97">
        <f>ABS((G40-F40)/AVERAGE(C40:E40))</f>
        <v/>
      </c>
    </row>
    <row r="41">
      <c r="B41" s="67" t="inlineStr">
        <is>
          <t>L200AC-L100AC</t>
        </is>
      </c>
      <c r="C41" s="45">
        <f>C14-C5</f>
        <v/>
      </c>
      <c r="D41" s="46">
        <f>D14-D5</f>
        <v/>
      </c>
      <c r="E41" s="47">
        <f>E14-E5</f>
        <v/>
      </c>
      <c r="F41" s="45">
        <f>MIN(C41:E41)</f>
        <v/>
      </c>
      <c r="G41" s="46">
        <f>MAX(C41:E41)</f>
        <v/>
      </c>
      <c r="H41" s="92">
        <f>AVERAGE(C41:E41)</f>
        <v/>
      </c>
      <c r="I41" s="97">
        <f>ABS((G41-F41)/AVERAGE(C41:E41))</f>
        <v/>
      </c>
    </row>
    <row r="42">
      <c r="B42" s="67" t="inlineStr">
        <is>
          <t>L202AC-L200AC</t>
        </is>
      </c>
      <c r="C42" s="65">
        <f>C15-C14</f>
        <v/>
      </c>
      <c r="D42" s="46">
        <f>D15-D14</f>
        <v/>
      </c>
      <c r="E42" s="148">
        <f>E15-E14</f>
        <v/>
      </c>
      <c r="F42" s="45">
        <f>MIN(C42:E42)</f>
        <v/>
      </c>
      <c r="G42" s="46">
        <f>MAX(C42:E42)</f>
        <v/>
      </c>
      <c r="H42" s="92">
        <f>AVERAGE(C42:E42)</f>
        <v/>
      </c>
      <c r="I42" s="97">
        <f>ABS((G42-F42)/AVERAGE(C42:E42))</f>
        <v/>
      </c>
    </row>
    <row r="43">
      <c r="B43" s="67" t="inlineStr">
        <is>
          <t>L302AC-L100AC</t>
        </is>
      </c>
      <c r="C43" s="65">
        <f>C16-C5</f>
        <v/>
      </c>
      <c r="D43" s="46">
        <f>D16-D5</f>
        <v/>
      </c>
      <c r="E43" s="149">
        <f>E16-E5</f>
        <v/>
      </c>
      <c r="F43" s="45">
        <f>MIN(C43:E43)</f>
        <v/>
      </c>
      <c r="G43" s="46">
        <f>MAX(C43:E43)</f>
        <v/>
      </c>
      <c r="H43" s="92">
        <f>AVERAGE(C43:E43)</f>
        <v/>
      </c>
      <c r="I43" s="97">
        <f>ABS((G43-F43)/AVERAGE(C43:E43))</f>
        <v/>
      </c>
    </row>
    <row r="44">
      <c r="B44" s="67" t="inlineStr">
        <is>
          <t>L302BC-L100AC</t>
        </is>
      </c>
      <c r="C44" s="65">
        <f>C17-C5</f>
        <v/>
      </c>
      <c r="D44" s="46">
        <f>D17-D5</f>
        <v/>
      </c>
      <c r="E44" s="149">
        <f>E17-E5</f>
        <v/>
      </c>
      <c r="F44" s="45">
        <f>MIN(C44:E44)</f>
        <v/>
      </c>
      <c r="G44" s="46">
        <f>MAX(C44:E44)</f>
        <v/>
      </c>
      <c r="H44" s="92">
        <f>AVERAGE(C44:E44)</f>
        <v/>
      </c>
      <c r="I44" s="97">
        <f>ABS((G44-F44)/AVERAGE(C44:E44))</f>
        <v/>
      </c>
    </row>
    <row r="45">
      <c r="B45" s="67" t="inlineStr">
        <is>
          <t>L302AC-L304AC</t>
        </is>
      </c>
      <c r="C45" s="65">
        <f>C16-C18</f>
        <v/>
      </c>
      <c r="D45" s="46">
        <f>D16-D18</f>
        <v/>
      </c>
      <c r="E45" s="149">
        <f>E16-E18</f>
        <v/>
      </c>
      <c r="F45" s="45">
        <f>MIN(C45:E45)</f>
        <v/>
      </c>
      <c r="G45" s="46">
        <f>MAX(C45:E45)</f>
        <v/>
      </c>
      <c r="H45" s="92">
        <f>AVERAGE(C45:E45)</f>
        <v/>
      </c>
      <c r="I45" s="97">
        <f>ABS((G45-F45)/AVERAGE(C45:E45))</f>
        <v/>
      </c>
    </row>
    <row r="46">
      <c r="B46" s="67" t="inlineStr">
        <is>
          <t>L302BC-L304BC</t>
        </is>
      </c>
      <c r="C46" s="65">
        <f>C17-C19</f>
        <v/>
      </c>
      <c r="D46" s="46">
        <f>D17-D19</f>
        <v/>
      </c>
      <c r="E46" s="149">
        <f>E17-E19</f>
        <v/>
      </c>
      <c r="F46" s="45">
        <f>MIN(C46:E46)</f>
        <v/>
      </c>
      <c r="G46" s="46">
        <f>MAX(C46:E46)</f>
        <v/>
      </c>
      <c r="H46" s="92">
        <f>AVERAGE(C46:E46)</f>
        <v/>
      </c>
      <c r="I46" s="97">
        <f>ABS((G46-F46)/AVERAGE(C46:E46))</f>
        <v/>
      </c>
    </row>
    <row r="47">
      <c r="B47" s="67" t="inlineStr">
        <is>
          <t>L322A1-L100AC</t>
        </is>
      </c>
      <c r="C47" s="65">
        <f>C20-C5</f>
        <v/>
      </c>
      <c r="D47" s="46">
        <f>D20-D5</f>
        <v/>
      </c>
      <c r="E47" s="149">
        <f>E20-E5</f>
        <v/>
      </c>
      <c r="F47" s="45">
        <f>MIN(C47:E47)</f>
        <v/>
      </c>
      <c r="G47" s="46">
        <f>MAX(C47:E47)</f>
        <v/>
      </c>
      <c r="H47" s="92">
        <f>AVERAGE(C47:E47)</f>
        <v/>
      </c>
      <c r="I47" s="97">
        <f>ABS((G47-F47)/AVERAGE(C47:E47))</f>
        <v/>
      </c>
    </row>
    <row r="48">
      <c r="B48" s="67" t="inlineStr">
        <is>
          <t>L322A2-L100AC</t>
        </is>
      </c>
      <c r="C48" s="65">
        <f>C21-C5</f>
        <v/>
      </c>
      <c r="D48" s="46">
        <f>D21-D5</f>
        <v/>
      </c>
      <c r="E48" s="149">
        <f>E21-E5</f>
        <v/>
      </c>
      <c r="F48" s="45">
        <f>MIN(C48:E48)</f>
        <v/>
      </c>
      <c r="G48" s="46">
        <f>MAX(C48:E48)</f>
        <v/>
      </c>
      <c r="H48" s="92">
        <f>AVERAGE(C48:E48)</f>
        <v/>
      </c>
      <c r="I48" s="97">
        <f>ABS((G48-F48)/AVERAGE(C48:E48))</f>
        <v/>
      </c>
    </row>
    <row r="49">
      <c r="B49" s="67" t="inlineStr">
        <is>
          <t>L322B1-L100AC</t>
        </is>
      </c>
      <c r="C49" s="65">
        <f>C22-C5</f>
        <v/>
      </c>
      <c r="D49" s="46">
        <f>D22-D5</f>
        <v/>
      </c>
      <c r="E49" s="149">
        <f>E22-E5</f>
        <v/>
      </c>
      <c r="F49" s="45">
        <f>MIN(C49:E49)</f>
        <v/>
      </c>
      <c r="G49" s="46">
        <f>MAX(C49:E49)</f>
        <v/>
      </c>
      <c r="H49" s="92">
        <f>AVERAGE(C49:E49)</f>
        <v/>
      </c>
      <c r="I49" s="97">
        <f>ABS((G49-F49)/AVERAGE(C49:E49))</f>
        <v/>
      </c>
    </row>
    <row r="50">
      <c r="B50" s="67" t="inlineStr">
        <is>
          <t>L322B2-L100AC</t>
        </is>
      </c>
      <c r="C50" s="65">
        <f>C23-C5</f>
        <v/>
      </c>
      <c r="D50" s="46">
        <f>D23-D5</f>
        <v/>
      </c>
      <c r="E50" s="149">
        <f>E23-E5</f>
        <v/>
      </c>
      <c r="F50" s="45">
        <f>MIN(C50:E50)</f>
        <v/>
      </c>
      <c r="G50" s="46">
        <f>MAX(C50:E50)</f>
        <v/>
      </c>
      <c r="H50" s="92">
        <f>AVERAGE(C50:E50)</f>
        <v/>
      </c>
      <c r="I50" s="97">
        <f>ABS((G50-F50)/AVERAGE(C50:E50))</f>
        <v/>
      </c>
    </row>
    <row r="51">
      <c r="B51" s="67" t="inlineStr">
        <is>
          <t>L322A1-L324A1</t>
        </is>
      </c>
      <c r="C51" s="65">
        <f>C20-C24</f>
        <v/>
      </c>
      <c r="D51" s="46">
        <f>D20-D24</f>
        <v/>
      </c>
      <c r="E51" s="149">
        <f>E20-E24</f>
        <v/>
      </c>
      <c r="F51" s="45">
        <f>MIN(C51:E51)</f>
        <v/>
      </c>
      <c r="G51" s="46">
        <f>MAX(C51:E51)</f>
        <v/>
      </c>
      <c r="H51" s="92">
        <f>AVERAGE(C51:E51)</f>
        <v/>
      </c>
      <c r="I51" s="97">
        <f>ABS((G51-F51)/AVERAGE(C51:E51))</f>
        <v/>
      </c>
    </row>
    <row r="52">
      <c r="B52" s="67" t="inlineStr">
        <is>
          <t>L322A2-L324A2</t>
        </is>
      </c>
      <c r="C52" s="65">
        <f>C21-C25</f>
        <v/>
      </c>
      <c r="D52" s="46">
        <f>D21-D25</f>
        <v/>
      </c>
      <c r="E52" s="149">
        <f>E21-E25</f>
        <v/>
      </c>
      <c r="F52" s="45">
        <f>MIN(C52:E52)</f>
        <v/>
      </c>
      <c r="G52" s="46">
        <f>MAX(C52:E52)</f>
        <v/>
      </c>
      <c r="H52" s="92">
        <f>AVERAGE(C52:E52)</f>
        <v/>
      </c>
      <c r="I52" s="97">
        <f>ABS((G52-F52)/AVERAGE(C52:E52))</f>
        <v/>
      </c>
    </row>
    <row r="53">
      <c r="B53" s="67" t="inlineStr">
        <is>
          <t>L322B1-L324B1</t>
        </is>
      </c>
      <c r="C53" s="65">
        <f>C22-C26</f>
        <v/>
      </c>
      <c r="D53" s="46">
        <f>D22-D26</f>
        <v/>
      </c>
      <c r="E53" s="149">
        <f>E22-E26</f>
        <v/>
      </c>
      <c r="F53" s="45">
        <f>MIN(C53:E53)</f>
        <v/>
      </c>
      <c r="G53" s="46">
        <f>MAX(C53:E53)</f>
        <v/>
      </c>
      <c r="H53" s="92">
        <f>AVERAGE(C53:E53)</f>
        <v/>
      </c>
      <c r="I53" s="97">
        <f>ABS((G53-F53)/AVERAGE(C53:E53))</f>
        <v/>
      </c>
    </row>
    <row r="54">
      <c r="B54" s="68" t="inlineStr">
        <is>
          <t>L322B2-L324B2</t>
        </is>
      </c>
      <c r="C54" s="147">
        <f>C23-C27</f>
        <v/>
      </c>
      <c r="D54" s="49">
        <f>D23-D27</f>
        <v/>
      </c>
      <c r="E54" s="150">
        <f>E23-E27</f>
        <v/>
      </c>
      <c r="F54" s="48">
        <f>MIN(C54:E54)</f>
        <v/>
      </c>
      <c r="G54" s="49">
        <f>MAX(C54:E54)</f>
        <v/>
      </c>
      <c r="H54" s="93">
        <f>AVERAGE(C54:E54)</f>
        <v/>
      </c>
      <c r="I54" s="98">
        <f>ABS((G54-F54)/AVERAGE(C54:E54))</f>
        <v/>
      </c>
    </row>
    <row r="55">
      <c r="B55" s="100" t="inlineStr">
        <is>
          <t>** ABS [(max - min) / (mean of Example Results)]</t>
        </is>
      </c>
    </row>
    <row r="56">
      <c r="B56" s="81" t="n"/>
    </row>
    <row r="57" ht="25.5" customHeight="1" s="158">
      <c r="B57" s="162" t="inlineStr">
        <is>
          <t>Table B20-3.  HERS BESTEST Tier-1 Example Results – Annual or Seasonal Sensible Cooling Loads (10^6 Btu/y) for Las Vegas, NV</t>
        </is>
      </c>
      <c r="C57" s="163" t="n"/>
      <c r="D57" s="163" t="n"/>
      <c r="E57" s="163" t="n"/>
      <c r="F57" s="163" t="n"/>
      <c r="G57" s="163" t="n"/>
      <c r="H57" s="163" t="n"/>
      <c r="I57" s="163" t="n"/>
    </row>
    <row r="58">
      <c r="B58" s="122" t="inlineStr">
        <is>
          <t>Example Results:</t>
        </is>
      </c>
      <c r="C58" s="160" t="n"/>
      <c r="D58" s="160" t="n"/>
      <c r="E58" s="161" t="n"/>
      <c r="F58" s="159" t="inlineStr">
        <is>
          <t>Statistics:</t>
        </is>
      </c>
      <c r="G58" s="160" t="n"/>
      <c r="H58" s="160" t="n"/>
      <c r="I58" s="99" t="n"/>
    </row>
    <row r="59" ht="27.6" customHeight="1" s="158">
      <c r="B59" s="40" t="inlineStr">
        <is>
          <t>Test Case</t>
        </is>
      </c>
      <c r="C59" s="42" t="inlineStr">
        <is>
          <t>BLAST 3.0</t>
        </is>
      </c>
      <c r="D59" s="43" t="inlineStr">
        <is>
          <t>DOE
2.1E</t>
        </is>
      </c>
      <c r="E59" s="44" t="inlineStr">
        <is>
          <t>SERIRES 5.7</t>
        </is>
      </c>
      <c r="F59" s="42" t="inlineStr">
        <is>
          <t>min</t>
        </is>
      </c>
      <c r="G59" s="43" t="inlineStr">
        <is>
          <t>max</t>
        </is>
      </c>
      <c r="H59" s="91" t="inlineStr">
        <is>
          <t>mean</t>
        </is>
      </c>
      <c r="I59" s="96" t="inlineStr">
        <is>
          <t>(max -min)
/mean**</t>
        </is>
      </c>
    </row>
    <row r="60">
      <c r="B60" s="41" t="inlineStr">
        <is>
          <t>L100AL</t>
        </is>
      </c>
      <c r="C60" s="45">
        <f>'BLAST-ClgRes'!C$30</f>
        <v/>
      </c>
      <c r="D60" s="46">
        <f>'DOE-ClgRes'!C$30</f>
        <v/>
      </c>
      <c r="E60" s="47">
        <f>'SRES-ClgRes'!C$30</f>
        <v/>
      </c>
      <c r="F60" s="45">
        <f>MIN(C60:E60)</f>
        <v/>
      </c>
      <c r="G60" s="46">
        <f>MAX(C60:E60)</f>
        <v/>
      </c>
      <c r="H60" s="92">
        <f>AVERAGE(C60:E60)</f>
        <v/>
      </c>
      <c r="I60" s="97">
        <f>ABS((G60-F60)/AVERAGE(C60:E60))</f>
        <v/>
      </c>
    </row>
    <row r="61">
      <c r="B61" s="41" t="inlineStr">
        <is>
          <t>L110AL</t>
        </is>
      </c>
      <c r="C61" s="45">
        <f>'BLAST-ClgRes'!D$30</f>
        <v/>
      </c>
      <c r="D61" s="46">
        <f>'DOE-ClgRes'!D$30</f>
        <v/>
      </c>
      <c r="E61" s="47">
        <f>'SRES-ClgRes'!D$30</f>
        <v/>
      </c>
      <c r="F61" s="45">
        <f>MIN(C61:E61)</f>
        <v/>
      </c>
      <c r="G61" s="46">
        <f>MAX(C61:E61)</f>
        <v/>
      </c>
      <c r="H61" s="92">
        <f>AVERAGE(C61:E61)</f>
        <v/>
      </c>
      <c r="I61" s="97">
        <f>ABS((G61-F61)/AVERAGE(C61:E61))</f>
        <v/>
      </c>
    </row>
    <row r="62">
      <c r="B62" s="41" t="inlineStr">
        <is>
          <t>L120AL</t>
        </is>
      </c>
      <c r="C62" s="45">
        <f>'BLAST-ClgRes'!E$30</f>
        <v/>
      </c>
      <c r="D62" s="46">
        <f>'DOE-ClgRes'!E$30</f>
        <v/>
      </c>
      <c r="E62" s="47">
        <f>'SRES-ClgRes'!E$30</f>
        <v/>
      </c>
      <c r="F62" s="45">
        <f>MIN(C62:E62)</f>
        <v/>
      </c>
      <c r="G62" s="46">
        <f>MAX(C62:E62)</f>
        <v/>
      </c>
      <c r="H62" s="92">
        <f>AVERAGE(C62:E62)</f>
        <v/>
      </c>
      <c r="I62" s="97">
        <f>ABS((G62-F62)/AVERAGE(C62:E62))</f>
        <v/>
      </c>
    </row>
    <row r="63">
      <c r="B63" s="41" t="inlineStr">
        <is>
          <t>L130AL</t>
        </is>
      </c>
      <c r="C63" s="45">
        <f>'BLAST-ClgRes'!F$30</f>
        <v/>
      </c>
      <c r="D63" s="46">
        <f>'DOE-ClgRes'!F$30</f>
        <v/>
      </c>
      <c r="E63" s="47">
        <f>'SRES-ClgRes'!F$30</f>
        <v/>
      </c>
      <c r="F63" s="45">
        <f>MIN(C63:E63)</f>
        <v/>
      </c>
      <c r="G63" s="46">
        <f>MAX(C63:E63)</f>
        <v/>
      </c>
      <c r="H63" s="92">
        <f>AVERAGE(C63:E63)</f>
        <v/>
      </c>
      <c r="I63" s="97">
        <f>ABS((G63-F63)/AVERAGE(C63:E63))</f>
        <v/>
      </c>
    </row>
    <row r="64">
      <c r="B64" s="41" t="inlineStr">
        <is>
          <t>L140AL</t>
        </is>
      </c>
      <c r="C64" s="45">
        <f>'BLAST-ClgRes'!G$30</f>
        <v/>
      </c>
      <c r="D64" s="46">
        <f>'DOE-ClgRes'!G$30</f>
        <v/>
      </c>
      <c r="E64" s="47">
        <f>'SRES-ClgRes'!G$30</f>
        <v/>
      </c>
      <c r="F64" s="45">
        <f>MIN(C64:E64)</f>
        <v/>
      </c>
      <c r="G64" s="46">
        <f>MAX(C64:E64)</f>
        <v/>
      </c>
      <c r="H64" s="92">
        <f>AVERAGE(C64:E64)</f>
        <v/>
      </c>
      <c r="I64" s="97">
        <f>ABS((G64-F64)/AVERAGE(C64:E64))</f>
        <v/>
      </c>
    </row>
    <row r="65">
      <c r="B65" s="41" t="inlineStr">
        <is>
          <t>L150AL</t>
        </is>
      </c>
      <c r="C65" s="45">
        <f>'BLAST-ClgRes'!H$30</f>
        <v/>
      </c>
      <c r="D65" s="46">
        <f>'DOE-ClgRes'!H$30</f>
        <v/>
      </c>
      <c r="E65" s="47">
        <f>'SRES-ClgRes'!H$30</f>
        <v/>
      </c>
      <c r="F65" s="45">
        <f>MIN(C65:E65)</f>
        <v/>
      </c>
      <c r="G65" s="46">
        <f>MAX(C65:E65)</f>
        <v/>
      </c>
      <c r="H65" s="92">
        <f>AVERAGE(C65:E65)</f>
        <v/>
      </c>
      <c r="I65" s="97">
        <f>ABS((G65-F65)/AVERAGE(C65:E65))</f>
        <v/>
      </c>
    </row>
    <row r="66">
      <c r="B66" s="41" t="inlineStr">
        <is>
          <t>L155AL</t>
        </is>
      </c>
      <c r="C66" s="45">
        <f>'BLAST-ClgRes'!I$30</f>
        <v/>
      </c>
      <c r="D66" s="46">
        <f>'DOE-ClgRes'!I$30</f>
        <v/>
      </c>
      <c r="E66" s="47">
        <f>'SRES-ClgRes'!I$30</f>
        <v/>
      </c>
      <c r="F66" s="45">
        <f>MIN(C66:E66)</f>
        <v/>
      </c>
      <c r="G66" s="46">
        <f>MAX(C66:E66)</f>
        <v/>
      </c>
      <c r="H66" s="92">
        <f>AVERAGE(C66:E66)</f>
        <v/>
      </c>
      <c r="I66" s="97">
        <f>ABS((G66-F66)/AVERAGE(C66:E66))</f>
        <v/>
      </c>
    </row>
    <row r="67">
      <c r="B67" s="41" t="inlineStr">
        <is>
          <t>L160AL</t>
        </is>
      </c>
      <c r="C67" s="45">
        <f>'BLAST-ClgRes'!J$30</f>
        <v/>
      </c>
      <c r="D67" s="46">
        <f>'DOE-ClgRes'!J$30</f>
        <v/>
      </c>
      <c r="E67" s="47">
        <f>'SRES-ClgRes'!J$30</f>
        <v/>
      </c>
      <c r="F67" s="45">
        <f>MIN(C67:E67)</f>
        <v/>
      </c>
      <c r="G67" s="46">
        <f>MAX(C67:E67)</f>
        <v/>
      </c>
      <c r="H67" s="92">
        <f>AVERAGE(C67:E67)</f>
        <v/>
      </c>
      <c r="I67" s="97">
        <f>ABS((G67-F67)/AVERAGE(C67:E67))</f>
        <v/>
      </c>
    </row>
    <row r="68">
      <c r="B68" s="41" t="inlineStr">
        <is>
          <t>L170AL</t>
        </is>
      </c>
      <c r="C68" s="45">
        <f>'BLAST-ClgRes'!K$30</f>
        <v/>
      </c>
      <c r="D68" s="46">
        <f>'DOE-ClgRes'!K$30</f>
        <v/>
      </c>
      <c r="E68" s="47">
        <f>'SRES-ClgRes'!K$30</f>
        <v/>
      </c>
      <c r="F68" s="45">
        <f>MIN(C68:E68)</f>
        <v/>
      </c>
      <c r="G68" s="46">
        <f>MAX(C68:E68)</f>
        <v/>
      </c>
      <c r="H68" s="92">
        <f>AVERAGE(C68:E68)</f>
        <v/>
      </c>
      <c r="I68" s="97">
        <f>ABS((G68-F68)/AVERAGE(C68:E68))</f>
        <v/>
      </c>
    </row>
    <row r="69">
      <c r="B69" s="41" t="inlineStr">
        <is>
          <t>L200AL</t>
        </is>
      </c>
      <c r="C69" s="45">
        <f>'BLAST-ClgRes'!L$30</f>
        <v/>
      </c>
      <c r="D69" s="46">
        <f>'DOE-ClgRes'!L$30</f>
        <v/>
      </c>
      <c r="E69" s="47">
        <f>'SRES-ClgRes'!L$30</f>
        <v/>
      </c>
      <c r="F69" s="45">
        <f>MIN(C69:E69)</f>
        <v/>
      </c>
      <c r="G69" s="46">
        <f>MAX(C69:E69)</f>
        <v/>
      </c>
      <c r="H69" s="92">
        <f>AVERAGE(C69:E69)</f>
        <v/>
      </c>
      <c r="I69" s="97">
        <f>ABS((G69-F69)/AVERAGE(C69:E69))</f>
        <v/>
      </c>
    </row>
    <row r="70">
      <c r="B70" s="59" t="inlineStr">
        <is>
          <t>L202AL</t>
        </is>
      </c>
      <c r="C70" s="48">
        <f>'BLAST-ClgRes'!M$30</f>
        <v/>
      </c>
      <c r="D70" s="49">
        <f>'DOE-ClgRes'!M$30</f>
        <v/>
      </c>
      <c r="E70" s="50">
        <f>'SRES-ClgRes'!M$30</f>
        <v/>
      </c>
      <c r="F70" s="48">
        <f>MIN(C70:E70)</f>
        <v/>
      </c>
      <c r="G70" s="49">
        <f>MAX(C70:E70)</f>
        <v/>
      </c>
      <c r="H70" s="93">
        <f>AVERAGE(C70:E70)</f>
        <v/>
      </c>
      <c r="I70" s="98">
        <f>ABS((G70-F70)/AVERAGE(C70:E70))</f>
        <v/>
      </c>
    </row>
    <row r="71">
      <c r="B71" s="100" t="inlineStr">
        <is>
          <t>** ABS [(max - min) / (mean of Example Results)]</t>
        </is>
      </c>
    </row>
    <row r="72">
      <c r="B72" s="81" t="n"/>
    </row>
    <row r="73" ht="25.5" customHeight="1" s="158">
      <c r="B73" s="162" t="inlineStr">
        <is>
          <t>Table B20-4.  HERS BESTEST Tier-1 Example Results – Delta Annual or Seasonal Sensible Cooling Loads (10^6 Btu/y) for Las Vegas, NV</t>
        </is>
      </c>
      <c r="C73" s="163" t="n"/>
      <c r="D73" s="163" t="n"/>
      <c r="E73" s="163" t="n"/>
      <c r="F73" s="163" t="n"/>
      <c r="G73" s="163" t="n"/>
      <c r="H73" s="163" t="n"/>
      <c r="I73" s="163" t="n"/>
    </row>
    <row r="74">
      <c r="B74" s="122" t="inlineStr">
        <is>
          <t>Example Results:</t>
        </is>
      </c>
      <c r="C74" s="160" t="n"/>
      <c r="D74" s="160" t="n"/>
      <c r="E74" s="161" t="n"/>
      <c r="F74" s="159" t="inlineStr">
        <is>
          <t>Statistics:</t>
        </is>
      </c>
      <c r="G74" s="160" t="n"/>
      <c r="H74" s="160" t="n"/>
      <c r="I74" s="99" t="n"/>
    </row>
    <row r="75" ht="27.6" customHeight="1" s="158">
      <c r="B75" s="66" t="inlineStr">
        <is>
          <t>Test Case Delta</t>
        </is>
      </c>
      <c r="C75" s="42" t="inlineStr">
        <is>
          <t>BLAST 3.0</t>
        </is>
      </c>
      <c r="D75" s="43" t="inlineStr">
        <is>
          <t>DOE
2.1E</t>
        </is>
      </c>
      <c r="E75" s="44" t="inlineStr">
        <is>
          <t>SERIRES 5.7</t>
        </is>
      </c>
      <c r="F75" s="42" t="inlineStr">
        <is>
          <t>min</t>
        </is>
      </c>
      <c r="G75" s="43" t="inlineStr">
        <is>
          <t>max</t>
        </is>
      </c>
      <c r="H75" s="91" t="inlineStr">
        <is>
          <t>mean</t>
        </is>
      </c>
      <c r="I75" s="96" t="inlineStr">
        <is>
          <t>(max -min)
/mean**</t>
        </is>
      </c>
    </row>
    <row r="76">
      <c r="B76" s="41" t="inlineStr">
        <is>
          <t>L110AL-L100AL</t>
        </is>
      </c>
      <c r="C76" s="45">
        <f>C61-C60</f>
        <v/>
      </c>
      <c r="D76" s="46">
        <f>D61-D60</f>
        <v/>
      </c>
      <c r="E76" s="47">
        <f>E61-E60</f>
        <v/>
      </c>
      <c r="F76" s="45">
        <f>MIN(C76:E76)</f>
        <v/>
      </c>
      <c r="G76" s="46">
        <f>MAX(C76:E76)</f>
        <v/>
      </c>
      <c r="H76" s="92">
        <f>AVERAGE(C76:E76)</f>
        <v/>
      </c>
      <c r="I76" s="97">
        <f>ABS((G76-F76)/AVERAGE(C76:E76))</f>
        <v/>
      </c>
    </row>
    <row r="77">
      <c r="B77" s="41" t="inlineStr">
        <is>
          <t>L120AL-L100AL</t>
        </is>
      </c>
      <c r="C77" s="45">
        <f>C62-C60</f>
        <v/>
      </c>
      <c r="D77" s="46">
        <f>D62-D60</f>
        <v/>
      </c>
      <c r="E77" s="47">
        <f>E62-E60</f>
        <v/>
      </c>
      <c r="F77" s="45">
        <f>MIN(C77:E77)</f>
        <v/>
      </c>
      <c r="G77" s="46">
        <f>MAX(C77:E77)</f>
        <v/>
      </c>
      <c r="H77" s="92">
        <f>AVERAGE(C77:E77)</f>
        <v/>
      </c>
      <c r="I77" s="97">
        <f>ABS((G77-F77)/AVERAGE(C77:E77))</f>
        <v/>
      </c>
    </row>
    <row r="78">
      <c r="B78" s="41" t="inlineStr">
        <is>
          <t>L130AL-L100AL</t>
        </is>
      </c>
      <c r="C78" s="45">
        <f>C63-C60</f>
        <v/>
      </c>
      <c r="D78" s="46">
        <f>D63-D60</f>
        <v/>
      </c>
      <c r="E78" s="47">
        <f>E63-E60</f>
        <v/>
      </c>
      <c r="F78" s="45">
        <f>MIN(C78:E78)</f>
        <v/>
      </c>
      <c r="G78" s="46">
        <f>MAX(C78:E78)</f>
        <v/>
      </c>
      <c r="H78" s="92">
        <f>AVERAGE(C78:E78)</f>
        <v/>
      </c>
      <c r="I78" s="97">
        <f>ABS((G78-F78)/AVERAGE(C78:E78))</f>
        <v/>
      </c>
    </row>
    <row r="79">
      <c r="B79" s="41" t="inlineStr">
        <is>
          <t>L140AL-L100AL</t>
        </is>
      </c>
      <c r="C79" s="45">
        <f>C64-C60</f>
        <v/>
      </c>
      <c r="D79" s="46">
        <f>D64-D60</f>
        <v/>
      </c>
      <c r="E79" s="47">
        <f>E64-E60</f>
        <v/>
      </c>
      <c r="F79" s="45">
        <f>MIN(C79:E79)</f>
        <v/>
      </c>
      <c r="G79" s="46">
        <f>MAX(C79:E79)</f>
        <v/>
      </c>
      <c r="H79" s="92">
        <f>AVERAGE(C79:E79)</f>
        <v/>
      </c>
      <c r="I79" s="97">
        <f>ABS((G79-F79)/AVERAGE(C79:E79))</f>
        <v/>
      </c>
    </row>
    <row r="80">
      <c r="B80" s="41" t="inlineStr">
        <is>
          <t>L150AL-L100AL</t>
        </is>
      </c>
      <c r="C80" s="45">
        <f>C65-C60</f>
        <v/>
      </c>
      <c r="D80" s="46">
        <f>D65-D60</f>
        <v/>
      </c>
      <c r="E80" s="47">
        <f>E65-E60</f>
        <v/>
      </c>
      <c r="F80" s="45">
        <f>MIN(C80:E80)</f>
        <v/>
      </c>
      <c r="G80" s="46">
        <f>MAX(C80:E80)</f>
        <v/>
      </c>
      <c r="H80" s="92">
        <f>AVERAGE(C80:E80)</f>
        <v/>
      </c>
      <c r="I80" s="97">
        <f>ABS((G80-F80)/AVERAGE(C80:E80))</f>
        <v/>
      </c>
    </row>
    <row r="81">
      <c r="B81" s="41" t="inlineStr">
        <is>
          <t>L155AL-L150AL</t>
        </is>
      </c>
      <c r="C81" s="45">
        <f>C66-C65</f>
        <v/>
      </c>
      <c r="D81" s="46">
        <f>D66-D65</f>
        <v/>
      </c>
      <c r="E81" s="47">
        <f>E66-E65</f>
        <v/>
      </c>
      <c r="F81" s="45">
        <f>MIN(C81:E81)</f>
        <v/>
      </c>
      <c r="G81" s="46">
        <f>MAX(C81:E81)</f>
        <v/>
      </c>
      <c r="H81" s="92">
        <f>AVERAGE(C81:E81)</f>
        <v/>
      </c>
      <c r="I81" s="97">
        <f>ABS((G81-F81)/AVERAGE(C81:E81))</f>
        <v/>
      </c>
    </row>
    <row r="82">
      <c r="B82" s="41" t="inlineStr">
        <is>
          <t>L160AL-L100AL</t>
        </is>
      </c>
      <c r="C82" s="45">
        <f>C67-C60</f>
        <v/>
      </c>
      <c r="D82" s="46">
        <f>D67-D60</f>
        <v/>
      </c>
      <c r="E82" s="47">
        <f>E67-E60</f>
        <v/>
      </c>
      <c r="F82" s="45">
        <f>MIN(C82:E82)</f>
        <v/>
      </c>
      <c r="G82" s="46">
        <f>MAX(C82:E82)</f>
        <v/>
      </c>
      <c r="H82" s="92">
        <f>AVERAGE(C82:E82)</f>
        <v/>
      </c>
      <c r="I82" s="97">
        <f>ABS((G82-F82)/AVERAGE(C82:E82))</f>
        <v/>
      </c>
    </row>
    <row r="83">
      <c r="B83" s="41" t="inlineStr">
        <is>
          <t>L170AL-L100AL</t>
        </is>
      </c>
      <c r="C83" s="45">
        <f>C68-C60</f>
        <v/>
      </c>
      <c r="D83" s="46">
        <f>D68-D60</f>
        <v/>
      </c>
      <c r="E83" s="47">
        <f>E68-E60</f>
        <v/>
      </c>
      <c r="F83" s="45">
        <f>MIN(C83:E83)</f>
        <v/>
      </c>
      <c r="G83" s="46">
        <f>MAX(C83:E83)</f>
        <v/>
      </c>
      <c r="H83" s="92">
        <f>AVERAGE(C83:E83)</f>
        <v/>
      </c>
      <c r="I83" s="97">
        <f>ABS((G83-F83)/AVERAGE(C83:E83))</f>
        <v/>
      </c>
    </row>
    <row r="84">
      <c r="B84" s="41" t="inlineStr">
        <is>
          <t>L200AL-L100AL</t>
        </is>
      </c>
      <c r="C84" s="45">
        <f>C69-C60</f>
        <v/>
      </c>
      <c r="D84" s="46">
        <f>D69-D60</f>
        <v/>
      </c>
      <c r="E84" s="47">
        <f>E69-E60</f>
        <v/>
      </c>
      <c r="F84" s="45">
        <f>MIN(C84:E84)</f>
        <v/>
      </c>
      <c r="G84" s="46">
        <f>MAX(C84:E84)</f>
        <v/>
      </c>
      <c r="H84" s="92">
        <f>AVERAGE(C84:E84)</f>
        <v/>
      </c>
      <c r="I84" s="97">
        <f>ABS((G84-F84)/AVERAGE(C84:E84))</f>
        <v/>
      </c>
    </row>
    <row r="85">
      <c r="B85" s="59" t="inlineStr">
        <is>
          <t>L202AL-L200AL</t>
        </is>
      </c>
      <c r="C85" s="48">
        <f>C70-C69</f>
        <v/>
      </c>
      <c r="D85" s="49">
        <f>D70-D69</f>
        <v/>
      </c>
      <c r="E85" s="50">
        <f>E70-E69</f>
        <v/>
      </c>
      <c r="F85" s="48">
        <f>MIN(C85:E85)</f>
        <v/>
      </c>
      <c r="G85" s="49">
        <f>MAX(C85:E85)</f>
        <v/>
      </c>
      <c r="H85" s="93">
        <f>AVERAGE(C85:E85)</f>
        <v/>
      </c>
      <c r="I85" s="98">
        <f>ABS((G85-F85)/AVERAGE(C85:E85))</f>
        <v/>
      </c>
    </row>
    <row r="86">
      <c r="B86" s="100" t="inlineStr">
        <is>
          <t>** ABS [(max - min) / (mean of Example Results)]</t>
        </is>
      </c>
      <c r="C86" s="26" t="n"/>
      <c r="D86" s="26" t="n"/>
      <c r="E86" s="26" t="n"/>
      <c r="F86" s="26" t="n"/>
      <c r="G86" s="26" t="n"/>
      <c r="H86" s="26" t="n"/>
    </row>
    <row r="87">
      <c r="B87" s="165" t="n"/>
      <c r="C87" s="26" t="n"/>
      <c r="D87" s="26" t="n"/>
      <c r="E87" s="26" t="n"/>
      <c r="F87" s="26" t="n"/>
      <c r="G87" s="26" t="n"/>
      <c r="H87" s="26" t="n"/>
    </row>
    <row r="88" ht="25.5" customHeight="1" s="158">
      <c r="B88" s="162" t="inlineStr">
        <is>
          <t>Table B20-5.  HERS BESTEST Tier-2 Example Results – Annual or Seasonal Heating Loads (10^6 Btu/y) for Colorado Springs, CO</t>
        </is>
      </c>
      <c r="C88" s="163" t="n"/>
      <c r="D88" s="163" t="n"/>
      <c r="E88" s="163" t="n"/>
      <c r="F88" s="163" t="n"/>
      <c r="G88" s="163" t="n"/>
      <c r="H88" s="163" t="n"/>
      <c r="I88" s="163" t="n"/>
    </row>
    <row r="89">
      <c r="B89" s="122" t="inlineStr">
        <is>
          <t>Example Results:</t>
        </is>
      </c>
      <c r="C89" s="160" t="n"/>
      <c r="D89" s="160" t="n"/>
      <c r="E89" s="161" t="n"/>
      <c r="F89" s="159" t="inlineStr">
        <is>
          <t>Statistics:</t>
        </is>
      </c>
      <c r="G89" s="160" t="n"/>
      <c r="H89" s="160" t="n"/>
      <c r="I89" s="99" t="n"/>
    </row>
    <row r="90" ht="27.6" customHeight="1" s="158">
      <c r="B90" s="40" t="inlineStr">
        <is>
          <t>Test Case</t>
        </is>
      </c>
      <c r="C90" s="42" t="inlineStr">
        <is>
          <t>BLAST 3.0</t>
        </is>
      </c>
      <c r="D90" s="43" t="inlineStr">
        <is>
          <t>DOE
2.1E</t>
        </is>
      </c>
      <c r="E90" s="44" t="inlineStr">
        <is>
          <t>SERIRES 5.7</t>
        </is>
      </c>
      <c r="F90" s="42" t="inlineStr">
        <is>
          <t>min</t>
        </is>
      </c>
      <c r="G90" s="43" t="inlineStr">
        <is>
          <t>max</t>
        </is>
      </c>
      <c r="H90" s="91" t="inlineStr">
        <is>
          <t>mean</t>
        </is>
      </c>
      <c r="I90" s="96" t="inlineStr">
        <is>
          <t>(max -min)
/mean**</t>
        </is>
      </c>
    </row>
    <row r="91">
      <c r="B91" s="41">
        <f>'BLAST-HtgRes'!AB$17</f>
        <v/>
      </c>
      <c r="C91" s="45">
        <f>'BLAST-HtgRes'!AB$30</f>
        <v/>
      </c>
      <c r="D91" s="46">
        <f>'DOE-HtgRes'!AB$30</f>
        <v/>
      </c>
      <c r="E91" s="47">
        <f>'SRES-HtgRes'!AB$30</f>
        <v/>
      </c>
      <c r="F91" s="45">
        <f>MIN(C91:E91)</f>
        <v/>
      </c>
      <c r="G91" s="46">
        <f>MAX(C91:E91)</f>
        <v/>
      </c>
      <c r="H91" s="92">
        <f>AVERAGE(C91:E91)</f>
        <v/>
      </c>
      <c r="I91" s="97">
        <f>ABS((G91-F91)/AVERAGE(C91:E91))</f>
        <v/>
      </c>
    </row>
    <row r="92">
      <c r="B92" s="41">
        <f>'BLAST-HtgRes'!AC$17</f>
        <v/>
      </c>
      <c r="C92" s="45">
        <f>'BLAST-HtgRes'!AC$30</f>
        <v/>
      </c>
      <c r="D92" s="46">
        <f>'DOE-HtgRes'!AC$30</f>
        <v/>
      </c>
      <c r="E92" s="47">
        <f>'SRES-HtgRes'!AC$30</f>
        <v/>
      </c>
      <c r="F92" s="45">
        <f>MIN(C92:E92)</f>
        <v/>
      </c>
      <c r="G92" s="46">
        <f>MAX(C92:E92)</f>
        <v/>
      </c>
      <c r="H92" s="92">
        <f>AVERAGE(C92:E92)</f>
        <v/>
      </c>
      <c r="I92" s="97">
        <f>ABS((G92-F92)/AVERAGE(C92:E92))</f>
        <v/>
      </c>
    </row>
    <row r="93">
      <c r="B93" s="41">
        <f>'BLAST-HtgRes'!AD$17</f>
        <v/>
      </c>
      <c r="C93" s="45">
        <f>'BLAST-HtgRes'!AD$30</f>
        <v/>
      </c>
      <c r="D93" s="46">
        <f>'DOE-HtgRes'!AD$30</f>
        <v/>
      </c>
      <c r="E93" s="47">
        <f>'SRES-HtgRes'!AD$30</f>
        <v/>
      </c>
      <c r="F93" s="45">
        <f>MIN(C93:E93)</f>
        <v/>
      </c>
      <c r="G93" s="46">
        <f>MAX(C93:E93)</f>
        <v/>
      </c>
      <c r="H93" s="92">
        <f>AVERAGE(C93:E93)</f>
        <v/>
      </c>
      <c r="I93" s="97">
        <f>ABS((G93-F93)/AVERAGE(C93:E93))</f>
        <v/>
      </c>
    </row>
    <row r="94">
      <c r="B94" s="41">
        <f>'BLAST-HtgRes'!AE$17</f>
        <v/>
      </c>
      <c r="C94" s="45">
        <f>'BLAST-HtgRes'!AE$30</f>
        <v/>
      </c>
      <c r="D94" s="46">
        <f>'DOE-HtgRes'!AE$30</f>
        <v/>
      </c>
      <c r="E94" s="47">
        <f>'SRES-HtgRes'!AE$30</f>
        <v/>
      </c>
      <c r="F94" s="45">
        <f>MIN(C94:E94)</f>
        <v/>
      </c>
      <c r="G94" s="46">
        <f>MAX(C94:E94)</f>
        <v/>
      </c>
      <c r="H94" s="92">
        <f>AVERAGE(C94:E94)</f>
        <v/>
      </c>
      <c r="I94" s="97">
        <f>ABS((G94-F94)/AVERAGE(C94:E94))</f>
        <v/>
      </c>
    </row>
    <row r="95">
      <c r="B95" s="41">
        <f>'BLAST-HtgRes'!AF$17</f>
        <v/>
      </c>
      <c r="C95" s="45">
        <f>'BLAST-HtgRes'!AF$30</f>
        <v/>
      </c>
      <c r="D95" s="46">
        <f>'DOE-HtgRes'!AF$30</f>
        <v/>
      </c>
      <c r="E95" s="47">
        <f>'SRES-HtgRes'!AF$30</f>
        <v/>
      </c>
      <c r="F95" s="45">
        <f>MIN(C95:E95)</f>
        <v/>
      </c>
      <c r="G95" s="46">
        <f>MAX(C95:E95)</f>
        <v/>
      </c>
      <c r="H95" s="92">
        <f>AVERAGE(C95:E95)</f>
        <v/>
      </c>
      <c r="I95" s="97">
        <f>ABS((G95-F95)/AVERAGE(C95:E95))</f>
        <v/>
      </c>
    </row>
    <row r="96">
      <c r="B96" s="59">
        <f>'BLAST-HtgRes'!AG$17</f>
        <v/>
      </c>
      <c r="C96" s="48">
        <f>'BLAST-HtgRes'!AG$30</f>
        <v/>
      </c>
      <c r="D96" s="49">
        <f>'DOE-HtgRes'!AG$30</f>
        <v/>
      </c>
      <c r="E96" s="50">
        <f>'SRES-HtgRes'!AG$30</f>
        <v/>
      </c>
      <c r="F96" s="48">
        <f>MIN(C96:E96)</f>
        <v/>
      </c>
      <c r="G96" s="49">
        <f>MAX(C96:E96)</f>
        <v/>
      </c>
      <c r="H96" s="93">
        <f>AVERAGE(C96:E96)</f>
        <v/>
      </c>
      <c r="I96" s="98">
        <f>ABS((G96-F96)/AVERAGE(C96:E96))</f>
        <v/>
      </c>
    </row>
    <row r="97">
      <c r="B97" s="100" t="inlineStr">
        <is>
          <t>** ABS [(max - min) / (mean of Example Results)]</t>
        </is>
      </c>
    </row>
    <row r="98">
      <c r="B98" s="81" t="n"/>
    </row>
    <row r="99" ht="25.5" customHeight="1" s="158">
      <c r="B99" s="162" t="inlineStr">
        <is>
          <t>Table B20-6.  HERS BESTEST Tier-2 Example Results – Delta Annual or Seasonal Heating Loads (10^6 Btu/y) for Colorado Springs, CO</t>
        </is>
      </c>
      <c r="C99" s="163" t="n"/>
      <c r="D99" s="163" t="n"/>
      <c r="E99" s="163" t="n"/>
      <c r="F99" s="163" t="n"/>
      <c r="G99" s="163" t="n"/>
      <c r="H99" s="163" t="n"/>
      <c r="I99" s="163" t="n"/>
    </row>
    <row r="100">
      <c r="B100" s="122" t="inlineStr">
        <is>
          <t>Example Results:</t>
        </is>
      </c>
      <c r="C100" s="160" t="n"/>
      <c r="D100" s="160" t="n"/>
      <c r="E100" s="161" t="n"/>
      <c r="F100" s="159" t="inlineStr">
        <is>
          <t>Statistics:</t>
        </is>
      </c>
      <c r="G100" s="160" t="n"/>
      <c r="H100" s="160" t="n"/>
      <c r="I100" s="99" t="n"/>
    </row>
    <row r="101" ht="27.6" customHeight="1" s="158">
      <c r="B101" s="66" t="inlineStr">
        <is>
          <t>Test Case Delta</t>
        </is>
      </c>
      <c r="C101" s="42" t="inlineStr">
        <is>
          <t>BLAST 3.0</t>
        </is>
      </c>
      <c r="D101" s="43" t="inlineStr">
        <is>
          <t>DOE
2.1E</t>
        </is>
      </c>
      <c r="E101" s="44" t="inlineStr">
        <is>
          <t>SERIRES 5.7</t>
        </is>
      </c>
      <c r="F101" s="42" t="inlineStr">
        <is>
          <t>min</t>
        </is>
      </c>
      <c r="G101" s="43" t="inlineStr">
        <is>
          <t>max</t>
        </is>
      </c>
      <c r="H101" s="91" t="inlineStr">
        <is>
          <t>mean</t>
        </is>
      </c>
      <c r="I101" s="96" t="inlineStr">
        <is>
          <t>(max -min)
/mean**</t>
        </is>
      </c>
    </row>
    <row r="102">
      <c r="B102" s="83" t="inlineStr">
        <is>
          <t>L165AC-L160AC</t>
        </is>
      </c>
      <c r="C102" s="84">
        <f>C91-C12</f>
        <v/>
      </c>
      <c r="D102" s="85">
        <f>D91-D12</f>
        <v/>
      </c>
      <c r="E102" s="86">
        <f>E91-E12</f>
        <v/>
      </c>
      <c r="F102" s="45">
        <f>MIN(C102:E102)</f>
        <v/>
      </c>
      <c r="G102" s="46">
        <f>MAX(C102:E102)</f>
        <v/>
      </c>
      <c r="H102" s="94">
        <f>AVERAGE(C102:E102)</f>
        <v/>
      </c>
      <c r="I102" s="97">
        <f>ABS((G102-F102)/AVERAGE(C102:E102))</f>
        <v/>
      </c>
    </row>
    <row r="103">
      <c r="B103" s="67" t="inlineStr">
        <is>
          <t>P105AC-P100AC</t>
        </is>
      </c>
      <c r="C103" s="45">
        <f>C93-C92</f>
        <v/>
      </c>
      <c r="D103" s="46">
        <f>D93-D92</f>
        <v/>
      </c>
      <c r="E103" s="47">
        <f>E93-E92</f>
        <v/>
      </c>
      <c r="F103" s="45">
        <f>MIN(C103:E103)</f>
        <v/>
      </c>
      <c r="G103" s="46">
        <f>MAX(C103:E103)</f>
        <v/>
      </c>
      <c r="H103" s="92">
        <f>AVERAGE(C103:E103)</f>
        <v/>
      </c>
      <c r="I103" s="97">
        <f>ABS((G103-F103)/AVERAGE(C103:E103))</f>
        <v/>
      </c>
    </row>
    <row r="104">
      <c r="B104" s="67" t="inlineStr">
        <is>
          <t>P110AC-P100AC</t>
        </is>
      </c>
      <c r="C104" s="45">
        <f>C94-C92</f>
        <v/>
      </c>
      <c r="D104" s="46">
        <f>D94-D92</f>
        <v/>
      </c>
      <c r="E104" s="47">
        <f>E94-E92</f>
        <v/>
      </c>
      <c r="F104" s="45">
        <f>MIN(C104:E104)</f>
        <v/>
      </c>
      <c r="G104" s="46">
        <f>MAX(C104:E104)</f>
        <v/>
      </c>
      <c r="H104" s="92">
        <f>AVERAGE(C104:E104)</f>
        <v/>
      </c>
      <c r="I104" s="97">
        <f>ABS((G104-F104)/AVERAGE(C104:E104))</f>
        <v/>
      </c>
    </row>
    <row r="105">
      <c r="B105" s="67" t="inlineStr">
        <is>
          <t>P140AC-P100AC</t>
        </is>
      </c>
      <c r="C105" s="45">
        <f>C95-C92</f>
        <v/>
      </c>
      <c r="D105" s="46">
        <f>D95-D92</f>
        <v/>
      </c>
      <c r="E105" s="47">
        <f>E95-E92</f>
        <v/>
      </c>
      <c r="F105" s="45">
        <f>MIN(C105:E105)</f>
        <v/>
      </c>
      <c r="G105" s="46">
        <f>MAX(C105:E105)</f>
        <v/>
      </c>
      <c r="H105" s="92">
        <f>AVERAGE(C105:E105)</f>
        <v/>
      </c>
      <c r="I105" s="97">
        <f>ABS((G105-F105)/AVERAGE(C105:E105))</f>
        <v/>
      </c>
    </row>
    <row r="106">
      <c r="B106" s="68" t="inlineStr">
        <is>
          <t>P150AC-P100AC</t>
        </is>
      </c>
      <c r="C106" s="48">
        <f>C96-C92</f>
        <v/>
      </c>
      <c r="D106" s="49">
        <f>D96-D92</f>
        <v/>
      </c>
      <c r="E106" s="50">
        <f>E96-E92</f>
        <v/>
      </c>
      <c r="F106" s="48">
        <f>MIN(C106:E106)</f>
        <v/>
      </c>
      <c r="G106" s="49">
        <f>MAX(C106:E106)</f>
        <v/>
      </c>
      <c r="H106" s="93">
        <f>AVERAGE(C106:E106)</f>
        <v/>
      </c>
      <c r="I106" s="98">
        <f>ABS((G106-F106)/AVERAGE(C106:E106))</f>
        <v/>
      </c>
    </row>
    <row r="107">
      <c r="B107" s="100" t="inlineStr">
        <is>
          <t>** ABS [(max - min) / (mean of Example Results)]</t>
        </is>
      </c>
    </row>
    <row r="108">
      <c r="B108" s="81" t="n"/>
    </row>
    <row r="109" ht="25.5" customHeight="1" s="158">
      <c r="B109" s="162" t="inlineStr">
        <is>
          <t>Table B20-7.  HERS BESTEST Tier-2 Example Results – Annual or Seasonal Sensible Cooling Loads (10^6 Btu/y) for Las Vegas, NV ("AL") and Colorado Springs, CO ("AC")</t>
        </is>
      </c>
      <c r="C109" s="163" t="n"/>
      <c r="D109" s="163" t="n"/>
      <c r="E109" s="163" t="n"/>
      <c r="F109" s="163" t="n"/>
      <c r="G109" s="163" t="n"/>
      <c r="H109" s="163" t="n"/>
      <c r="I109" s="163" t="n"/>
    </row>
    <row r="110">
      <c r="B110" s="122" t="inlineStr">
        <is>
          <t>Example Results:</t>
        </is>
      </c>
      <c r="C110" s="160" t="n"/>
      <c r="D110" s="160" t="n"/>
      <c r="E110" s="161" t="n"/>
      <c r="F110" s="159" t="inlineStr">
        <is>
          <t>Statistics:</t>
        </is>
      </c>
      <c r="G110" s="160" t="n"/>
      <c r="H110" s="160" t="n"/>
      <c r="I110" s="99" t="n"/>
    </row>
    <row r="111" ht="27.6" customHeight="1" s="158">
      <c r="B111" s="40" t="inlineStr">
        <is>
          <t>Test Case</t>
        </is>
      </c>
      <c r="C111" s="42" t="inlineStr">
        <is>
          <t>BLAST 3.0</t>
        </is>
      </c>
      <c r="D111" s="43" t="inlineStr">
        <is>
          <t>DOE
2.1E</t>
        </is>
      </c>
      <c r="E111" s="44" t="inlineStr">
        <is>
          <t>SERIRES 5.7</t>
        </is>
      </c>
      <c r="F111" s="42" t="inlineStr">
        <is>
          <t>min</t>
        </is>
      </c>
      <c r="G111" s="43" t="inlineStr">
        <is>
          <t>max</t>
        </is>
      </c>
      <c r="H111" s="91" t="inlineStr">
        <is>
          <t>mean</t>
        </is>
      </c>
      <c r="I111" s="96" t="inlineStr">
        <is>
          <t>(max -min)
/mean**</t>
        </is>
      </c>
    </row>
    <row r="112">
      <c r="B112" s="41">
        <f>'BLAST-ClgRes'!P$17</f>
        <v/>
      </c>
      <c r="C112" s="45">
        <f>'BLAST-ClgRes'!P$30</f>
        <v/>
      </c>
      <c r="D112" s="46">
        <f>'DOE-ClgRes'!P$30</f>
        <v/>
      </c>
      <c r="E112" s="47">
        <f>'SRES-ClgRes'!P$30</f>
        <v/>
      </c>
      <c r="F112" s="45">
        <f>MIN(C112:E112)</f>
        <v/>
      </c>
      <c r="G112" s="46">
        <f>MAX(C112:E112)</f>
        <v/>
      </c>
      <c r="H112" s="92">
        <f>AVERAGE(C112:E112)</f>
        <v/>
      </c>
      <c r="I112" s="97">
        <f>ABS((G112-F112)/AVERAGE(C112:E112))</f>
        <v/>
      </c>
    </row>
    <row r="113">
      <c r="B113" s="41">
        <f>'BLAST-ClgRes'!Q$17</f>
        <v/>
      </c>
      <c r="C113" s="45">
        <f>'BLAST-ClgRes'!Q$30</f>
        <v/>
      </c>
      <c r="D113" s="46">
        <f>'DOE-ClgRes'!Q$30</f>
        <v/>
      </c>
      <c r="E113" s="47">
        <f>'SRES-ClgRes'!Q$30</f>
        <v/>
      </c>
      <c r="F113" s="45">
        <f>MIN(C113:E113)</f>
        <v/>
      </c>
      <c r="G113" s="46">
        <f>MAX(C113:E113)</f>
        <v/>
      </c>
      <c r="H113" s="92">
        <f>AVERAGE(C113:E113)</f>
        <v/>
      </c>
      <c r="I113" s="97">
        <f>ABS((G113-F113)/AVERAGE(C113:E113))</f>
        <v/>
      </c>
    </row>
    <row r="114">
      <c r="B114" s="41">
        <f>'BLAST-ClgRes'!R$17</f>
        <v/>
      </c>
      <c r="C114" s="45">
        <f>'BLAST-ClgRes'!R$30</f>
        <v/>
      </c>
      <c r="D114" s="46">
        <f>'DOE-ClgRes'!R$30</f>
        <v/>
      </c>
      <c r="E114" s="47">
        <f>'SRES-ClgRes'!R$30</f>
        <v/>
      </c>
      <c r="F114" s="45">
        <f>MIN(C114:E114)</f>
        <v/>
      </c>
      <c r="G114" s="46">
        <f>MAX(C114:E114)</f>
        <v/>
      </c>
      <c r="H114" s="92">
        <f>AVERAGE(C114:E114)</f>
        <v/>
      </c>
      <c r="I114" s="97">
        <f>ABS((G114-F114)/AVERAGE(C114:E114))</f>
        <v/>
      </c>
    </row>
    <row r="115">
      <c r="B115" s="41">
        <f>'BLAST-ClgRes'!S$17</f>
        <v/>
      </c>
      <c r="C115" s="45">
        <f>'BLAST-ClgRes'!S$30</f>
        <v/>
      </c>
      <c r="D115" s="46">
        <f>'DOE-ClgRes'!S$30</f>
        <v/>
      </c>
      <c r="E115" s="47">
        <f>'SRES-ClgRes'!S$30</f>
        <v/>
      </c>
      <c r="F115" s="45">
        <f>MIN(C115:E115)</f>
        <v/>
      </c>
      <c r="G115" s="46">
        <f>MAX(C115:E115)</f>
        <v/>
      </c>
      <c r="H115" s="92">
        <f>AVERAGE(C115:E115)</f>
        <v/>
      </c>
      <c r="I115" s="97">
        <f>ABS((G115-F115)/AVERAGE(C115:E115))</f>
        <v/>
      </c>
    </row>
    <row r="116">
      <c r="B116" s="41">
        <f>'BLAST-ClgRes'!T$17</f>
        <v/>
      </c>
      <c r="C116" s="45">
        <f>'BLAST-ClgRes'!T$30</f>
        <v/>
      </c>
      <c r="D116" s="46">
        <f>'DOE-ClgRes'!T$30</f>
        <v/>
      </c>
      <c r="E116" s="47">
        <f>'SRES-ClgRes'!T$30</f>
        <v/>
      </c>
      <c r="F116" s="45">
        <f>MIN(C116:E116)</f>
        <v/>
      </c>
      <c r="G116" s="46">
        <f>MAX(C116:E116)</f>
        <v/>
      </c>
      <c r="H116" s="92">
        <f>AVERAGE(C116:E116)</f>
        <v/>
      </c>
      <c r="I116" s="97">
        <f>ABS((G116-F116)/AVERAGE(C116:E116))</f>
        <v/>
      </c>
    </row>
    <row r="117">
      <c r="B117" s="59">
        <f>'BLAST-ClgRes'!U$17</f>
        <v/>
      </c>
      <c r="C117" s="48">
        <f>'BLAST-ClgRes'!U$30</f>
        <v/>
      </c>
      <c r="D117" s="49">
        <f>'DOE-ClgRes'!U$30</f>
        <v/>
      </c>
      <c r="E117" s="50">
        <f>'SRES-ClgRes'!U$30</f>
        <v/>
      </c>
      <c r="F117" s="48">
        <f>MIN(C117:E117)</f>
        <v/>
      </c>
      <c r="G117" s="49">
        <f>MAX(C117:E117)</f>
        <v/>
      </c>
      <c r="H117" s="93">
        <f>AVERAGE(C117:E117)</f>
        <v/>
      </c>
      <c r="I117" s="98">
        <f>ABS((G117-F117)/AVERAGE(C117:E117))</f>
        <v/>
      </c>
    </row>
    <row r="118">
      <c r="B118" s="100" t="inlineStr">
        <is>
          <t>** ABS [(max - min) / (mean of Example Results)]</t>
        </is>
      </c>
    </row>
    <row r="119">
      <c r="B119" s="81" t="n"/>
    </row>
    <row r="120" ht="25.5" customHeight="1" s="158">
      <c r="B120" s="162" t="inlineStr">
        <is>
          <t>Table B20-8.  HERS BESTEST Tier-2 Example Results – Delta Annual or Seasonal Sensible Cooling Loads (10^6 Btu/y) for Las Vegas, NV ("AL") and Colorado Springs, CO ("AC")</t>
        </is>
      </c>
      <c r="C120" s="163" t="n"/>
      <c r="D120" s="163" t="n"/>
      <c r="E120" s="163" t="n"/>
      <c r="F120" s="163" t="n"/>
      <c r="G120" s="163" t="n"/>
      <c r="H120" s="163" t="n"/>
      <c r="I120" s="163" t="n"/>
    </row>
    <row r="121">
      <c r="B121" s="122" t="inlineStr">
        <is>
          <t>Example Results:</t>
        </is>
      </c>
      <c r="C121" s="160" t="n"/>
      <c r="D121" s="160" t="n"/>
      <c r="E121" s="161" t="n"/>
      <c r="F121" s="159" t="inlineStr">
        <is>
          <t>Statistics:</t>
        </is>
      </c>
      <c r="G121" s="160" t="n"/>
      <c r="H121" s="160" t="n"/>
      <c r="I121" s="99" t="n"/>
    </row>
    <row r="122" ht="27.6" customHeight="1" s="158">
      <c r="B122" s="66" t="inlineStr">
        <is>
          <t>Test Case Delta</t>
        </is>
      </c>
      <c r="C122" s="42" t="inlineStr">
        <is>
          <t>BLAST 3.0</t>
        </is>
      </c>
      <c r="D122" s="43" t="inlineStr">
        <is>
          <t>DOE
2.1E</t>
        </is>
      </c>
      <c r="E122" s="44" t="inlineStr">
        <is>
          <t>SERIRES 5.7</t>
        </is>
      </c>
      <c r="F122" s="42" t="inlineStr">
        <is>
          <t>min</t>
        </is>
      </c>
      <c r="G122" s="43" t="inlineStr">
        <is>
          <t>max</t>
        </is>
      </c>
      <c r="H122" s="91" t="inlineStr">
        <is>
          <t>mean</t>
        </is>
      </c>
      <c r="I122" s="96" t="inlineStr">
        <is>
          <t>(max -min)
/mean**</t>
        </is>
      </c>
    </row>
    <row r="123">
      <c r="B123" s="83" t="inlineStr">
        <is>
          <t>L165AL-L160AL</t>
        </is>
      </c>
      <c r="C123" s="84">
        <f>C112-C67</f>
        <v/>
      </c>
      <c r="D123" s="85">
        <f>D112-D67</f>
        <v/>
      </c>
      <c r="E123" s="86">
        <f>E112-E67</f>
        <v/>
      </c>
      <c r="F123" s="45">
        <f>MIN(C123:E123)</f>
        <v/>
      </c>
      <c r="G123" s="46">
        <f>MAX(C123:E123)</f>
        <v/>
      </c>
      <c r="H123" s="92">
        <f>AVERAGE(C123:E123)</f>
        <v/>
      </c>
      <c r="I123" s="97">
        <f>ABS((G123-F123)/AVERAGE(C123:E123))</f>
        <v/>
      </c>
    </row>
    <row r="124">
      <c r="B124" s="67" t="inlineStr">
        <is>
          <t>P105AC-P100AC</t>
        </is>
      </c>
      <c r="C124" s="45">
        <f>C114-C113</f>
        <v/>
      </c>
      <c r="D124" s="46">
        <f>D114-D113</f>
        <v/>
      </c>
      <c r="E124" s="47">
        <f>E114-E113</f>
        <v/>
      </c>
      <c r="F124" s="45">
        <f>MIN(C124:E124)</f>
        <v/>
      </c>
      <c r="G124" s="46">
        <f>MAX(C124:E124)</f>
        <v/>
      </c>
      <c r="H124" s="92">
        <f>AVERAGE(C124:E124)</f>
        <v/>
      </c>
      <c r="I124" s="97">
        <f>ABS((G124-F124)/AVERAGE(C124:E124))</f>
        <v/>
      </c>
    </row>
    <row r="125">
      <c r="B125" s="67" t="inlineStr">
        <is>
          <t>P110AC-P100AC</t>
        </is>
      </c>
      <c r="C125" s="45">
        <f>C115-C113</f>
        <v/>
      </c>
      <c r="D125" s="46">
        <f>D115-D113</f>
        <v/>
      </c>
      <c r="E125" s="47">
        <f>E115-E113</f>
        <v/>
      </c>
      <c r="F125" s="45">
        <f>MIN(C125:E125)</f>
        <v/>
      </c>
      <c r="G125" s="46">
        <f>MAX(C125:E125)</f>
        <v/>
      </c>
      <c r="H125" s="92">
        <f>AVERAGE(C125:E125)</f>
        <v/>
      </c>
      <c r="I125" s="97">
        <f>ABS((G125-F125)/AVERAGE(C125:E125))</f>
        <v/>
      </c>
    </row>
    <row r="126">
      <c r="B126" s="67" t="inlineStr">
        <is>
          <t>P140AC-P100AC</t>
        </is>
      </c>
      <c r="C126" s="45">
        <f>C116-C113</f>
        <v/>
      </c>
      <c r="D126" s="46">
        <f>D116-D113</f>
        <v/>
      </c>
      <c r="E126" s="47">
        <f>E116-E113</f>
        <v/>
      </c>
      <c r="F126" s="45">
        <f>MIN(C126:E126)</f>
        <v/>
      </c>
      <c r="G126" s="46">
        <f>MAX(C126:E126)</f>
        <v/>
      </c>
      <c r="H126" s="92">
        <f>AVERAGE(C126:E126)</f>
        <v/>
      </c>
      <c r="I126" s="97">
        <f>ABS((G126-F126)/AVERAGE(C126:E126))</f>
        <v/>
      </c>
    </row>
    <row r="127">
      <c r="B127" s="68" t="inlineStr">
        <is>
          <t>P150AC-P100AC</t>
        </is>
      </c>
      <c r="C127" s="48">
        <f>C117-C113</f>
        <v/>
      </c>
      <c r="D127" s="49">
        <f>D117-D113</f>
        <v/>
      </c>
      <c r="E127" s="50">
        <f>E117-E113</f>
        <v/>
      </c>
      <c r="F127" s="48">
        <f>MIN(C127:E127)</f>
        <v/>
      </c>
      <c r="G127" s="49">
        <f>MAX(C127:E127)</f>
        <v/>
      </c>
      <c r="H127" s="93">
        <f>AVERAGE(C127:E127)</f>
        <v/>
      </c>
      <c r="I127" s="98">
        <f>ABS((G127-F127)/AVERAGE(C127:E127))</f>
        <v/>
      </c>
    </row>
    <row r="128">
      <c r="B128" s="100" t="inlineStr">
        <is>
          <t>** ABS [(max - min) / (mean of Example Results)]</t>
        </is>
      </c>
    </row>
  </sheetData>
  <mergeCells count="25">
    <mergeCell ref="B109:I109"/>
    <mergeCell ref="B74:E74"/>
    <mergeCell ref="F110:H110"/>
    <mergeCell ref="F100:H100"/>
    <mergeCell ref="B89:E89"/>
    <mergeCell ref="B110:E110"/>
    <mergeCell ref="F121:H121"/>
    <mergeCell ref="F31:H31"/>
    <mergeCell ref="B2:I2"/>
    <mergeCell ref="B100:E100"/>
    <mergeCell ref="B120:I120"/>
    <mergeCell ref="F58:H58"/>
    <mergeCell ref="B3:E3"/>
    <mergeCell ref="B57:I57"/>
    <mergeCell ref="B121:E121"/>
    <mergeCell ref="B73:I73"/>
    <mergeCell ref="B31:E31"/>
    <mergeCell ref="B88:I88"/>
    <mergeCell ref="B58:E58"/>
    <mergeCell ref="B99:I99"/>
    <mergeCell ref="B30:I30"/>
    <mergeCell ref="A1:I1"/>
    <mergeCell ref="F89:H89"/>
    <mergeCell ref="F74:H74"/>
    <mergeCell ref="F3:H3"/>
  </mergeCells>
  <pageMargins left="0.75" right="0.75" top="1" bottom="1" header="0.5" footer="0.5"/>
  <pageSetup orientation="portrait" scale="84"/>
  <rowBreaks count="2" manualBreakCount="2">
    <brk id="56" min="0" max="16383" man="1"/>
    <brk id="86" min="0" max="16383" man="1"/>
  </rowBreaks>
</worksheet>
</file>

<file path=xl/worksheets/sheet3.xml><?xml version="1.0" encoding="utf-8"?>
<worksheet xmlns="http://schemas.openxmlformats.org/spreadsheetml/2006/main">
  <sheetPr>
    <outlinePr summaryBelow="1" summaryRight="1"/>
    <pageSetUpPr/>
  </sheetPr>
  <dimension ref="A1:AG31"/>
  <sheetViews>
    <sheetView workbookViewId="0">
      <selection activeCell="A1" sqref="A1"/>
    </sheetView>
  </sheetViews>
  <sheetFormatPr baseColWidth="8" defaultRowHeight="12.75"/>
  <cols>
    <col width="3.7109375" customWidth="1" style="158" min="1" max="1"/>
  </cols>
  <sheetData>
    <row r="1" ht="13.5" customHeight="1" s="158" thickTop="1">
      <c r="B1" s="166" t="inlineStr">
        <is>
          <t>Table B20-9.  BLAST 3.0 Monthly and Total Heating Loads (million Btu)</t>
        </is>
      </c>
      <c r="C1" s="167" t="n"/>
      <c r="D1" s="167" t="n"/>
      <c r="E1" s="167" t="n"/>
      <c r="F1" s="167" t="n"/>
      <c r="G1" s="167" t="n"/>
      <c r="H1" s="167" t="n"/>
      <c r="I1" s="167" t="n"/>
      <c r="J1" s="167" t="n"/>
      <c r="K1" s="167" t="n"/>
      <c r="L1" s="167" t="n"/>
      <c r="M1" s="167" t="n"/>
      <c r="N1" s="60" t="n"/>
      <c r="O1" s="167" t="n"/>
      <c r="P1" s="167" t="n"/>
      <c r="Q1" s="167" t="n"/>
      <c r="R1" s="167" t="n"/>
      <c r="S1" s="167" t="n"/>
      <c r="T1" s="167" t="n"/>
      <c r="U1" s="167" t="n"/>
      <c r="V1" s="167" t="n"/>
      <c r="W1" s="167" t="n"/>
      <c r="X1" s="167" t="n"/>
      <c r="Y1" s="168" t="n"/>
      <c r="AA1" s="180" t="inlineStr">
        <is>
          <t>Table B20-10. BLAST 3.0 Monthly and Total Heating Loads (million Btu)</t>
        </is>
      </c>
      <c r="AB1" s="181" t="n"/>
      <c r="AC1" s="181" t="n"/>
      <c r="AD1" s="181" t="n"/>
      <c r="AE1" s="181" t="n"/>
      <c r="AF1" s="181" t="n"/>
      <c r="AG1" s="182" t="n"/>
    </row>
    <row r="2" ht="13.5" customHeight="1" s="158" thickBot="1">
      <c r="B2" s="2" t="n"/>
      <c r="C2" s="3" t="inlineStr">
        <is>
          <t>L100AC</t>
        </is>
      </c>
      <c r="D2" s="3" t="inlineStr">
        <is>
          <t>L110AC</t>
        </is>
      </c>
      <c r="E2" s="3" t="inlineStr">
        <is>
          <t>L120AC</t>
        </is>
      </c>
      <c r="F2" s="3" t="inlineStr">
        <is>
          <t>L130AC</t>
        </is>
      </c>
      <c r="G2" s="3" t="inlineStr">
        <is>
          <t>L140AC</t>
        </is>
      </c>
      <c r="H2" s="3" t="inlineStr">
        <is>
          <t>L150AC</t>
        </is>
      </c>
      <c r="I2" s="3" t="inlineStr">
        <is>
          <t>L155AC</t>
        </is>
      </c>
      <c r="J2" s="3" t="inlineStr">
        <is>
          <t>L160AC</t>
        </is>
      </c>
      <c r="K2" s="3" t="inlineStr">
        <is>
          <t>L170AC</t>
        </is>
      </c>
      <c r="L2" s="3" t="inlineStr">
        <is>
          <t>L200AC</t>
        </is>
      </c>
      <c r="M2" s="3" t="inlineStr">
        <is>
          <t>L202AC</t>
        </is>
      </c>
      <c r="N2" s="61" t="inlineStr">
        <is>
          <t>L302AC</t>
        </is>
      </c>
      <c r="O2" s="3" t="inlineStr">
        <is>
          <t>L302BC</t>
        </is>
      </c>
      <c r="P2" s="3" t="inlineStr">
        <is>
          <t>L304AC</t>
        </is>
      </c>
      <c r="Q2" s="3" t="inlineStr">
        <is>
          <t>L304BC</t>
        </is>
      </c>
      <c r="R2" s="3" t="inlineStr">
        <is>
          <t>L322A1</t>
        </is>
      </c>
      <c r="S2" s="3" t="inlineStr">
        <is>
          <t>L322A2</t>
        </is>
      </c>
      <c r="T2" s="3" t="inlineStr">
        <is>
          <t>L322B1</t>
        </is>
      </c>
      <c r="U2" s="3" t="inlineStr">
        <is>
          <t>L322B2</t>
        </is>
      </c>
      <c r="V2" s="3" t="inlineStr">
        <is>
          <t>L324A1</t>
        </is>
      </c>
      <c r="W2" s="3" t="inlineStr">
        <is>
          <t>L324A2</t>
        </is>
      </c>
      <c r="X2" s="3" t="inlineStr">
        <is>
          <t>L324B1</t>
        </is>
      </c>
      <c r="Y2" s="4" t="inlineStr">
        <is>
          <t>L324B2</t>
        </is>
      </c>
      <c r="AA2" s="1" t="n"/>
      <c r="AB2" s="24" t="inlineStr">
        <is>
          <t>L165AC</t>
        </is>
      </c>
      <c r="AC2" s="24" t="inlineStr">
        <is>
          <t>P100AC</t>
        </is>
      </c>
      <c r="AD2" s="24" t="inlineStr">
        <is>
          <t>P105AC</t>
        </is>
      </c>
      <c r="AE2" s="24" t="inlineStr">
        <is>
          <t>P110AC</t>
        </is>
      </c>
      <c r="AF2" s="24" t="inlineStr">
        <is>
          <t>P140AC</t>
        </is>
      </c>
      <c r="AG2" s="7" t="inlineStr">
        <is>
          <t>P150AC</t>
        </is>
      </c>
    </row>
    <row r="3">
      <c r="A3" t="n">
        <v>1</v>
      </c>
      <c r="B3" s="1" t="inlineStr">
        <is>
          <t>Jan</t>
        </is>
      </c>
      <c r="C3" s="24" t="n">
        <v>11.3</v>
      </c>
      <c r="D3" s="24" t="n">
        <v>15.27</v>
      </c>
      <c r="E3" s="24" t="n">
        <v>9.34</v>
      </c>
      <c r="F3" s="24" t="n">
        <v>8.720000000000001</v>
      </c>
      <c r="G3" s="24" t="n">
        <v>8.960000000000001</v>
      </c>
      <c r="H3" s="24" t="n">
        <v>9.609999999999999</v>
      </c>
      <c r="I3" s="24" t="n">
        <v>9.69</v>
      </c>
      <c r="J3" s="24" t="n">
        <v>11.94</v>
      </c>
      <c r="K3" s="24" t="n">
        <v>12.68</v>
      </c>
      <c r="L3" s="24" t="n">
        <v>22.73</v>
      </c>
      <c r="M3" s="24" t="n">
        <v>23.21</v>
      </c>
      <c r="N3" s="62" t="n">
        <v>12.52</v>
      </c>
      <c r="O3" s="24" t="n">
        <v>12.22</v>
      </c>
      <c r="P3" s="24" t="n">
        <v>10.86</v>
      </c>
      <c r="Q3" s="24" t="n">
        <v>10.5</v>
      </c>
      <c r="R3" s="24" t="n">
        <v>16.19</v>
      </c>
      <c r="S3" s="24" t="n">
        <v>16.41</v>
      </c>
      <c r="T3" s="24" t="n">
        <v>15.72</v>
      </c>
      <c r="U3" s="24" t="n">
        <v>16.37</v>
      </c>
      <c r="V3" s="24" t="n">
        <v>11.91</v>
      </c>
      <c r="W3" s="24" t="n">
        <v>11.99</v>
      </c>
      <c r="X3" s="24" t="n">
        <v>11.16</v>
      </c>
      <c r="Y3" s="7" t="n">
        <v>11.26</v>
      </c>
      <c r="AA3" s="8" t="inlineStr">
        <is>
          <t>Jan</t>
        </is>
      </c>
      <c r="AB3" s="9" t="n">
        <v>12.63</v>
      </c>
      <c r="AC3" s="9" t="n">
        <v>2.44</v>
      </c>
      <c r="AD3" s="9" t="n">
        <v>2.45</v>
      </c>
      <c r="AE3" s="9" t="n">
        <v>4.2</v>
      </c>
      <c r="AF3" s="9" t="n">
        <v>5.68</v>
      </c>
      <c r="AG3" s="10" t="n">
        <v>5.44</v>
      </c>
    </row>
    <row r="4">
      <c r="A4" t="n">
        <v>2</v>
      </c>
      <c r="B4" s="1" t="inlineStr">
        <is>
          <t>Feb</t>
        </is>
      </c>
      <c r="C4" s="24" t="n">
        <v>9.74</v>
      </c>
      <c r="D4" s="24" t="n">
        <v>13.21</v>
      </c>
      <c r="E4" s="24" t="n">
        <v>8.07</v>
      </c>
      <c r="F4" s="24" t="n">
        <v>7.5</v>
      </c>
      <c r="G4" s="24" t="n">
        <v>7.79</v>
      </c>
      <c r="H4" s="24" t="n">
        <v>8.539999999999999</v>
      </c>
      <c r="I4" s="24" t="n">
        <v>8.800000000000001</v>
      </c>
      <c r="J4" s="24" t="n">
        <v>9.99</v>
      </c>
      <c r="K4" s="24" t="n">
        <v>11</v>
      </c>
      <c r="L4" s="24" t="n">
        <v>19.74</v>
      </c>
      <c r="M4" s="24" t="n">
        <v>20.19</v>
      </c>
      <c r="N4" s="62" t="n">
        <v>10.81</v>
      </c>
      <c r="O4" s="24" t="n">
        <v>10.87</v>
      </c>
      <c r="P4" s="24" t="n">
        <v>9.369999999999999</v>
      </c>
      <c r="Q4" s="24" t="n">
        <v>9.34</v>
      </c>
      <c r="R4" s="24" t="n">
        <v>14.05</v>
      </c>
      <c r="S4" s="24" t="n">
        <v>14.26</v>
      </c>
      <c r="T4" s="24" t="n">
        <v>14.02</v>
      </c>
      <c r="U4" s="24" t="n">
        <v>14.54</v>
      </c>
      <c r="V4" s="24" t="n">
        <v>10.29</v>
      </c>
      <c r="W4" s="24" t="n">
        <v>10.36</v>
      </c>
      <c r="X4" s="24" t="n">
        <v>9.84</v>
      </c>
      <c r="Y4" s="7" t="n">
        <v>10.14</v>
      </c>
      <c r="AA4" s="1" t="inlineStr">
        <is>
          <t>Feb</t>
        </is>
      </c>
      <c r="AB4" s="24" t="n">
        <v>10.63</v>
      </c>
      <c r="AC4" s="24" t="n">
        <v>2.41</v>
      </c>
      <c r="AD4" s="24" t="n">
        <v>2.61</v>
      </c>
      <c r="AE4" s="24" t="n">
        <v>3.88</v>
      </c>
      <c r="AF4" s="24" t="n">
        <v>4.98</v>
      </c>
      <c r="AG4" s="7" t="n">
        <v>4.68</v>
      </c>
    </row>
    <row r="5">
      <c r="A5" t="n">
        <v>3</v>
      </c>
      <c r="B5" s="1" t="inlineStr">
        <is>
          <t>Mar</t>
        </is>
      </c>
      <c r="C5" s="24" t="n">
        <v>9.039999999999999</v>
      </c>
      <c r="D5" s="24" t="n">
        <v>12.41</v>
      </c>
      <c r="E5" s="24" t="n">
        <v>7.43</v>
      </c>
      <c r="F5" s="24" t="n">
        <v>6.9</v>
      </c>
      <c r="G5" s="24" t="n">
        <v>7.39</v>
      </c>
      <c r="H5" s="24" t="n">
        <v>8.23</v>
      </c>
      <c r="I5" s="24" t="n">
        <v>8.869999999999999</v>
      </c>
      <c r="J5" s="24" t="n">
        <v>8.76</v>
      </c>
      <c r="K5" s="24" t="n">
        <v>10.39</v>
      </c>
      <c r="L5" s="24" t="n">
        <v>18.86</v>
      </c>
      <c r="M5" s="24" t="n">
        <v>19.37</v>
      </c>
      <c r="N5" s="62" t="n">
        <v>10.11</v>
      </c>
      <c r="O5" s="24" t="n">
        <v>9.960000000000001</v>
      </c>
      <c r="P5" s="24" t="n">
        <v>8.699999999999999</v>
      </c>
      <c r="Q5" s="24" t="n">
        <v>8.51</v>
      </c>
      <c r="R5" s="24" t="n">
        <v>13.25</v>
      </c>
      <c r="S5" s="24" t="n">
        <v>13.46</v>
      </c>
      <c r="T5" s="24" t="n">
        <v>12.9</v>
      </c>
      <c r="U5" s="24" t="n">
        <v>13.56</v>
      </c>
      <c r="V5" s="24" t="n">
        <v>9.529999999999999</v>
      </c>
      <c r="W5" s="24" t="n">
        <v>9.609999999999999</v>
      </c>
      <c r="X5" s="24" t="n">
        <v>8.869999999999999</v>
      </c>
      <c r="Y5" s="7" t="n">
        <v>9.300000000000001</v>
      </c>
      <c r="AA5" s="1" t="inlineStr">
        <is>
          <t>Mar</t>
        </is>
      </c>
      <c r="AB5" s="24" t="n">
        <v>9.33</v>
      </c>
      <c r="AC5" s="24" t="n">
        <v>2.23</v>
      </c>
      <c r="AD5" s="24" t="n">
        <v>3.04</v>
      </c>
      <c r="AE5" s="24" t="n">
        <v>3.63</v>
      </c>
      <c r="AF5" s="24" t="n">
        <v>4.67</v>
      </c>
      <c r="AG5" s="7" t="n">
        <v>3.87</v>
      </c>
    </row>
    <row r="6">
      <c r="A6" t="n">
        <v>4</v>
      </c>
      <c r="B6" s="1" t="inlineStr">
        <is>
          <t>Apr</t>
        </is>
      </c>
      <c r="C6" s="24" t="n">
        <v>5.17</v>
      </c>
      <c r="D6" s="24" t="n">
        <v>7.28</v>
      </c>
      <c r="E6" s="24" t="n">
        <v>4.16</v>
      </c>
      <c r="F6" s="24" t="n">
        <v>3.81</v>
      </c>
      <c r="G6" s="24" t="n">
        <v>4.24</v>
      </c>
      <c r="H6" s="24" t="n">
        <v>5.13</v>
      </c>
      <c r="I6" s="24" t="n">
        <v>5.75</v>
      </c>
      <c r="J6" s="24" t="n">
        <v>4.7</v>
      </c>
      <c r="K6" s="24" t="n">
        <v>6.26</v>
      </c>
      <c r="L6" s="24" t="n">
        <v>11.52</v>
      </c>
      <c r="M6" s="24" t="n">
        <v>11.93</v>
      </c>
      <c r="N6" s="62" t="n">
        <v>5.92</v>
      </c>
      <c r="O6" s="24" t="n">
        <v>5.35</v>
      </c>
      <c r="P6" s="24" t="n">
        <v>5.01</v>
      </c>
      <c r="Q6" s="24" t="n">
        <v>4.58</v>
      </c>
      <c r="R6" s="24" t="n">
        <v>7.82</v>
      </c>
      <c r="S6" s="24" t="n">
        <v>7.96</v>
      </c>
      <c r="T6" s="24" t="n">
        <v>6.62</v>
      </c>
      <c r="U6" s="24" t="n">
        <v>7.39</v>
      </c>
      <c r="V6" s="24" t="n">
        <v>5.42</v>
      </c>
      <c r="W6" s="24" t="n">
        <v>5.45</v>
      </c>
      <c r="X6" s="24" t="n">
        <v>4.43</v>
      </c>
      <c r="Y6" s="7" t="n">
        <v>4.96</v>
      </c>
      <c r="AA6" s="1" t="inlineStr">
        <is>
          <t>Apr</t>
        </is>
      </c>
      <c r="AB6" s="24" t="n">
        <v>4.95</v>
      </c>
      <c r="AC6" s="24" t="n">
        <v>1.29</v>
      </c>
      <c r="AD6" s="24" t="n">
        <v>2.18</v>
      </c>
      <c r="AE6" s="24" t="n">
        <v>2.15</v>
      </c>
      <c r="AF6" s="24" t="n">
        <v>2.48</v>
      </c>
      <c r="AG6" s="7" t="n">
        <v>1.67</v>
      </c>
    </row>
    <row r="7">
      <c r="A7" t="n">
        <v>5</v>
      </c>
      <c r="B7" s="1" t="inlineStr">
        <is>
          <t>May</t>
        </is>
      </c>
      <c r="C7" s="24" t="n">
        <v>2.43</v>
      </c>
      <c r="D7" s="24" t="n">
        <v>3.66</v>
      </c>
      <c r="E7" s="24" t="n">
        <v>1.84</v>
      </c>
      <c r="F7" s="24" t="n">
        <v>1.63</v>
      </c>
      <c r="G7" s="24" t="n">
        <v>1.89</v>
      </c>
      <c r="H7" s="24" t="n">
        <v>2.54</v>
      </c>
      <c r="I7" s="24" t="n">
        <v>2.79</v>
      </c>
      <c r="J7" s="24" t="n">
        <v>2.17</v>
      </c>
      <c r="K7" s="24" t="n">
        <v>3.3</v>
      </c>
      <c r="L7" s="24" t="n">
        <v>6.33</v>
      </c>
      <c r="M7" s="24" t="n">
        <v>6.57</v>
      </c>
      <c r="N7" s="62" t="n">
        <v>2.99</v>
      </c>
      <c r="O7" s="24" t="n">
        <v>2.13</v>
      </c>
      <c r="P7" s="24" t="n">
        <v>2.42</v>
      </c>
      <c r="Q7" s="24" t="n">
        <v>1.75</v>
      </c>
      <c r="R7" s="24" t="n">
        <v>3.95</v>
      </c>
      <c r="S7" s="24" t="n">
        <v>3.96</v>
      </c>
      <c r="T7" s="24" t="n">
        <v>2.18</v>
      </c>
      <c r="U7" s="24" t="n">
        <v>2.9</v>
      </c>
      <c r="V7" s="24" t="n">
        <v>2.49</v>
      </c>
      <c r="W7" s="24" t="n">
        <v>2.46</v>
      </c>
      <c r="X7" s="24" t="n">
        <v>1.36</v>
      </c>
      <c r="Y7" s="7" t="n">
        <v>1.88</v>
      </c>
      <c r="AA7" s="1" t="inlineStr">
        <is>
          <t>May</t>
        </is>
      </c>
      <c r="AB7" s="24" t="n">
        <v>2.29</v>
      </c>
      <c r="AC7" s="24" t="n">
        <v>0.36</v>
      </c>
      <c r="AD7" s="24" t="n">
        <v>0.62</v>
      </c>
      <c r="AE7" s="24" t="n">
        <v>0.8100000000000001</v>
      </c>
      <c r="AF7" s="24" t="n">
        <v>0.8</v>
      </c>
      <c r="AG7" s="7" t="n">
        <v>0.36</v>
      </c>
    </row>
    <row r="8">
      <c r="A8" t="n">
        <v>6</v>
      </c>
      <c r="B8" s="1" t="inlineStr">
        <is>
          <t>Jun</t>
        </is>
      </c>
      <c r="C8" s="24" t="n">
        <v>0.6899999999999999</v>
      </c>
      <c r="D8" s="24" t="n">
        <v>1.2</v>
      </c>
      <c r="E8" s="24" t="n">
        <v>0.46</v>
      </c>
      <c r="F8" s="24" t="n">
        <v>0.4</v>
      </c>
      <c r="G8" s="24" t="n">
        <v>0.47</v>
      </c>
      <c r="H8" s="24" t="n">
        <v>0.76</v>
      </c>
      <c r="I8" s="24" t="n">
        <v>0.82</v>
      </c>
      <c r="J8" s="24" t="n">
        <v>0.6</v>
      </c>
      <c r="K8" s="24" t="n">
        <v>1.11</v>
      </c>
      <c r="L8" s="24" t="n">
        <v>2.55</v>
      </c>
      <c r="M8" s="24" t="n">
        <v>2.65</v>
      </c>
      <c r="N8" s="62" t="n">
        <v>1.01</v>
      </c>
      <c r="O8" s="24" t="n">
        <v>0.44</v>
      </c>
      <c r="P8" s="24" t="n">
        <v>0.73</v>
      </c>
      <c r="Q8" s="24" t="n">
        <v>0.34</v>
      </c>
      <c r="R8" s="24" t="n">
        <v>1.29</v>
      </c>
      <c r="S8" s="24" t="n">
        <v>1.2</v>
      </c>
      <c r="T8" s="24" t="n">
        <v>0.38</v>
      </c>
      <c r="U8" s="24" t="n">
        <v>0.58</v>
      </c>
      <c r="V8" s="24" t="n">
        <v>0.66</v>
      </c>
      <c r="W8" s="24" t="n">
        <v>0.62</v>
      </c>
      <c r="X8" s="24" t="n">
        <v>0.22</v>
      </c>
      <c r="Y8" s="7" t="n">
        <v>0.38</v>
      </c>
      <c r="AA8" s="1" t="inlineStr">
        <is>
          <t>Jun</t>
        </is>
      </c>
      <c r="AB8" s="24" t="n">
        <v>0.63</v>
      </c>
      <c r="AC8" s="24" t="n">
        <v>0.05</v>
      </c>
      <c r="AD8" s="24" t="n">
        <v>0.09</v>
      </c>
      <c r="AE8" s="24" t="n">
        <v>0.18</v>
      </c>
      <c r="AF8" s="24" t="n">
        <v>0.15</v>
      </c>
      <c r="AG8" s="7" t="n">
        <v>0.03</v>
      </c>
    </row>
    <row r="9">
      <c r="A9" t="n">
        <v>7</v>
      </c>
      <c r="B9" s="1" t="inlineStr">
        <is>
          <t>Jul</t>
        </is>
      </c>
      <c r="C9" s="24" t="n">
        <v>0.06</v>
      </c>
      <c r="D9" s="24" t="n">
        <v>0.2</v>
      </c>
      <c r="E9" s="24" t="n">
        <v>0.02</v>
      </c>
      <c r="F9" s="24" t="n">
        <v>0.01</v>
      </c>
      <c r="G9" s="24" t="n">
        <v>0.02</v>
      </c>
      <c r="H9" s="24" t="n">
        <v>0.07000000000000001</v>
      </c>
      <c r="I9" s="24" t="n">
        <v>0.08</v>
      </c>
      <c r="J9" s="24" t="n">
        <v>0.05</v>
      </c>
      <c r="K9" s="24" t="n">
        <v>0.23</v>
      </c>
      <c r="L9" s="24" t="n">
        <v>0.79</v>
      </c>
      <c r="M9" s="24" t="n">
        <v>0.83</v>
      </c>
      <c r="N9" s="62" t="n">
        <v>0.19</v>
      </c>
      <c r="O9" s="24" t="n">
        <v>0</v>
      </c>
      <c r="P9" s="24" t="n">
        <v>0.09</v>
      </c>
      <c r="Q9" s="24" t="n">
        <v>0</v>
      </c>
      <c r="R9" s="24" t="n">
        <v>0.21</v>
      </c>
      <c r="S9" s="24" t="n">
        <v>0.15</v>
      </c>
      <c r="T9" s="24" t="n">
        <v>0</v>
      </c>
      <c r="U9" s="24" t="n">
        <v>0</v>
      </c>
      <c r="V9" s="24" t="n">
        <v>0.03</v>
      </c>
      <c r="W9" s="24" t="n">
        <v>0.02</v>
      </c>
      <c r="X9" s="24" t="n">
        <v>0</v>
      </c>
      <c r="Y9" s="7" t="n">
        <v>0</v>
      </c>
      <c r="AA9" s="1" t="inlineStr">
        <is>
          <t>Jul</t>
        </is>
      </c>
      <c r="AB9" s="24" t="n">
        <v>0.05</v>
      </c>
      <c r="AC9" s="24" t="n">
        <v>0</v>
      </c>
      <c r="AD9" s="24" t="n">
        <v>0</v>
      </c>
      <c r="AE9" s="24" t="n">
        <v>0</v>
      </c>
      <c r="AF9" s="24" t="n">
        <v>0</v>
      </c>
      <c r="AG9" s="7" t="n">
        <v>0</v>
      </c>
    </row>
    <row r="10">
      <c r="A10" t="n">
        <v>8</v>
      </c>
      <c r="B10" s="1" t="inlineStr">
        <is>
          <t>Aug</t>
        </is>
      </c>
      <c r="C10" s="24" t="n">
        <v>0.13</v>
      </c>
      <c r="D10" s="24" t="n">
        <v>0.34</v>
      </c>
      <c r="E10" s="24" t="n">
        <v>0.05</v>
      </c>
      <c r="F10" s="24" t="n">
        <v>0.04</v>
      </c>
      <c r="G10" s="24" t="n">
        <v>0.04</v>
      </c>
      <c r="H10" s="24" t="n">
        <v>0.13</v>
      </c>
      <c r="I10" s="24" t="n">
        <v>0.17</v>
      </c>
      <c r="J10" s="24" t="n">
        <v>0.11</v>
      </c>
      <c r="K10" s="24" t="n">
        <v>0.37</v>
      </c>
      <c r="L10" s="24" t="n">
        <v>1.16</v>
      </c>
      <c r="M10" s="24" t="n">
        <v>1.22</v>
      </c>
      <c r="N10" s="62" t="n">
        <v>0.31</v>
      </c>
      <c r="O10" s="24" t="n">
        <v>0</v>
      </c>
      <c r="P10" s="24" t="n">
        <v>0.17</v>
      </c>
      <c r="Q10" s="24" t="n">
        <v>0</v>
      </c>
      <c r="R10" s="24" t="n">
        <v>0.35</v>
      </c>
      <c r="S10" s="24" t="n">
        <v>0.27</v>
      </c>
      <c r="T10" s="24" t="n">
        <v>0</v>
      </c>
      <c r="U10" s="24" t="n">
        <v>0</v>
      </c>
      <c r="V10" s="24" t="n">
        <v>0.09</v>
      </c>
      <c r="W10" s="24" t="n">
        <v>0.06</v>
      </c>
      <c r="X10" s="24" t="n">
        <v>0</v>
      </c>
      <c r="Y10" s="7" t="n">
        <v>0</v>
      </c>
      <c r="AA10" s="1" t="inlineStr">
        <is>
          <t>Aug</t>
        </is>
      </c>
      <c r="AB10" s="24" t="n">
        <v>0.12</v>
      </c>
      <c r="AC10" s="24" t="n">
        <v>0</v>
      </c>
      <c r="AD10" s="24" t="n">
        <v>0</v>
      </c>
      <c r="AE10" s="24" t="n">
        <v>0</v>
      </c>
      <c r="AF10" s="24" t="n">
        <v>0</v>
      </c>
      <c r="AG10" s="7" t="n">
        <v>0</v>
      </c>
    </row>
    <row r="11">
      <c r="A11" t="n">
        <v>9</v>
      </c>
      <c r="B11" s="1" t="inlineStr">
        <is>
          <t>Sep</t>
        </is>
      </c>
      <c r="C11" s="24" t="n">
        <v>1.2</v>
      </c>
      <c r="D11" s="24" t="n">
        <v>1.92</v>
      </c>
      <c r="E11" s="24" t="n">
        <v>0.82</v>
      </c>
      <c r="F11" s="24" t="n">
        <v>0.7</v>
      </c>
      <c r="G11" s="24" t="n">
        <v>0.79</v>
      </c>
      <c r="H11" s="24" t="n">
        <v>1.1</v>
      </c>
      <c r="I11" s="24" t="n">
        <v>1.25</v>
      </c>
      <c r="J11" s="24" t="n">
        <v>1.13</v>
      </c>
      <c r="K11" s="24" t="n">
        <v>1.8</v>
      </c>
      <c r="L11" s="24" t="n">
        <v>3.68</v>
      </c>
      <c r="M11" s="24" t="n">
        <v>3.8</v>
      </c>
      <c r="N11" s="62" t="n">
        <v>1.62</v>
      </c>
      <c r="O11" s="24" t="n">
        <v>0.68</v>
      </c>
      <c r="P11" s="24" t="n">
        <v>1.25</v>
      </c>
      <c r="Q11" s="24" t="n">
        <v>0.48</v>
      </c>
      <c r="R11" s="24" t="n">
        <v>2.05</v>
      </c>
      <c r="S11" s="24" t="n">
        <v>1.96</v>
      </c>
      <c r="T11" s="24" t="n">
        <v>0.28</v>
      </c>
      <c r="U11" s="24" t="n">
        <v>0.79</v>
      </c>
      <c r="V11" s="24" t="n">
        <v>1.18</v>
      </c>
      <c r="W11" s="24" t="n">
        <v>1.09</v>
      </c>
      <c r="X11" s="24" t="n">
        <v>0.15</v>
      </c>
      <c r="Y11" s="7" t="n">
        <v>0.5600000000000001</v>
      </c>
      <c r="AA11" s="1" t="inlineStr">
        <is>
          <t>Sep</t>
        </is>
      </c>
      <c r="AB11" s="24" t="n">
        <v>1.2</v>
      </c>
      <c r="AC11" s="24" t="n">
        <v>0</v>
      </c>
      <c r="AD11" s="24" t="n">
        <v>0</v>
      </c>
      <c r="AE11" s="24" t="n">
        <v>0.13</v>
      </c>
      <c r="AF11" s="24" t="n">
        <v>0.11</v>
      </c>
      <c r="AG11" s="7" t="n">
        <v>0</v>
      </c>
    </row>
    <row r="12">
      <c r="A12" t="n">
        <v>10</v>
      </c>
      <c r="B12" s="1" t="inlineStr">
        <is>
          <t>Oct</t>
        </is>
      </c>
      <c r="C12" s="24" t="n">
        <v>3.46</v>
      </c>
      <c r="D12" s="24" t="n">
        <v>5.03</v>
      </c>
      <c r="E12" s="24" t="n">
        <v>2.66</v>
      </c>
      <c r="F12" s="24" t="n">
        <v>2.38</v>
      </c>
      <c r="G12" s="24" t="n">
        <v>2.71</v>
      </c>
      <c r="H12" s="24" t="n">
        <v>2.95</v>
      </c>
      <c r="I12" s="24" t="n">
        <v>3.12</v>
      </c>
      <c r="J12" s="24" t="n">
        <v>3.5</v>
      </c>
      <c r="K12" s="24" t="n">
        <v>4.46</v>
      </c>
      <c r="L12" s="24" t="n">
        <v>8.359999999999999</v>
      </c>
      <c r="M12" s="24" t="n">
        <v>8.6</v>
      </c>
      <c r="N12" s="62" t="n">
        <v>4.18</v>
      </c>
      <c r="O12" s="24" t="n">
        <v>3.09</v>
      </c>
      <c r="P12" s="24" t="n">
        <v>3.45</v>
      </c>
      <c r="Q12" s="24" t="n">
        <v>2.52</v>
      </c>
      <c r="R12" s="24" t="n">
        <v>5.39</v>
      </c>
      <c r="S12" s="24" t="n">
        <v>5.36</v>
      </c>
      <c r="T12" s="24" t="n">
        <v>3.22</v>
      </c>
      <c r="U12" s="24" t="n">
        <v>4.18</v>
      </c>
      <c r="V12" s="24" t="n">
        <v>3.56</v>
      </c>
      <c r="W12" s="24" t="n">
        <v>3.47</v>
      </c>
      <c r="X12" s="24" t="n">
        <v>2.03</v>
      </c>
      <c r="Y12" s="7" t="n">
        <v>2.72</v>
      </c>
      <c r="AA12" s="1" t="inlineStr">
        <is>
          <t>Oct</t>
        </is>
      </c>
      <c r="AB12" s="24" t="n">
        <v>3.78</v>
      </c>
      <c r="AC12" s="24" t="n">
        <v>0.23</v>
      </c>
      <c r="AD12" s="24" t="n">
        <v>0.27</v>
      </c>
      <c r="AE12" s="24" t="n">
        <v>0.75</v>
      </c>
      <c r="AF12" s="24" t="n">
        <v>1.28</v>
      </c>
      <c r="AG12" s="7" t="n">
        <v>0.5</v>
      </c>
    </row>
    <row r="13">
      <c r="A13" t="n">
        <v>11</v>
      </c>
      <c r="B13" s="1" t="inlineStr">
        <is>
          <t>Nov</t>
        </is>
      </c>
      <c r="C13" s="24" t="n">
        <v>8.18</v>
      </c>
      <c r="D13" s="24" t="n">
        <v>11.21</v>
      </c>
      <c r="E13" s="24" t="n">
        <v>6.7</v>
      </c>
      <c r="F13" s="24" t="n">
        <v>6.23</v>
      </c>
      <c r="G13" s="24" t="n">
        <v>6.66</v>
      </c>
      <c r="H13" s="24" t="n">
        <v>6.86</v>
      </c>
      <c r="I13" s="24" t="n">
        <v>6.99</v>
      </c>
      <c r="J13" s="24" t="n">
        <v>8.710000000000001</v>
      </c>
      <c r="K13" s="24" t="n">
        <v>9.5</v>
      </c>
      <c r="L13" s="24" t="n">
        <v>17.12</v>
      </c>
      <c r="M13" s="24" t="n">
        <v>17.54</v>
      </c>
      <c r="N13" s="62" t="n">
        <v>9.16</v>
      </c>
      <c r="O13" s="24" t="n">
        <v>8.94</v>
      </c>
      <c r="P13" s="24" t="n">
        <v>7.87</v>
      </c>
      <c r="Q13" s="24" t="n">
        <v>7.61</v>
      </c>
      <c r="R13" s="24" t="n">
        <v>11.96</v>
      </c>
      <c r="S13" s="24" t="n">
        <v>12.16</v>
      </c>
      <c r="T13" s="24" t="n">
        <v>11.61</v>
      </c>
      <c r="U13" s="24" t="n">
        <v>12.22</v>
      </c>
      <c r="V13" s="24" t="n">
        <v>8.630000000000001</v>
      </c>
      <c r="W13" s="24" t="n">
        <v>8.68</v>
      </c>
      <c r="X13" s="24" t="n">
        <v>7.98</v>
      </c>
      <c r="Y13" s="7" t="n">
        <v>8.35</v>
      </c>
      <c r="AA13" s="1" t="inlineStr">
        <is>
          <t>Nov</t>
        </is>
      </c>
      <c r="AB13" s="24" t="n">
        <v>9.369999999999999</v>
      </c>
      <c r="AC13" s="24" t="n">
        <v>1.11</v>
      </c>
      <c r="AD13" s="24" t="n">
        <v>1.15</v>
      </c>
      <c r="AE13" s="24" t="n">
        <v>2.68</v>
      </c>
      <c r="AF13" s="24" t="n">
        <v>4.13</v>
      </c>
      <c r="AG13" s="7" t="n">
        <v>3.45</v>
      </c>
    </row>
    <row r="14" ht="13.5" customHeight="1" s="158" thickBot="1">
      <c r="A14" t="n">
        <v>12</v>
      </c>
      <c r="B14" s="1" t="inlineStr">
        <is>
          <t>Dec</t>
        </is>
      </c>
      <c r="C14" s="24" t="n">
        <v>10.54</v>
      </c>
      <c r="D14" s="24" t="n">
        <v>14.22</v>
      </c>
      <c r="E14" s="24" t="n">
        <v>8.720000000000001</v>
      </c>
      <c r="F14" s="24" t="n">
        <v>8.029999999999999</v>
      </c>
      <c r="G14" s="24" t="n">
        <v>8.19</v>
      </c>
      <c r="H14" s="24" t="n">
        <v>9.01</v>
      </c>
      <c r="I14" s="24" t="n">
        <v>9.06</v>
      </c>
      <c r="J14" s="24" t="n">
        <v>11.24</v>
      </c>
      <c r="K14" s="24" t="n">
        <v>11.96</v>
      </c>
      <c r="L14" s="24" t="n">
        <v>21.13</v>
      </c>
      <c r="M14" s="24" t="n">
        <v>21.56</v>
      </c>
      <c r="N14" s="62" t="n">
        <v>11.68</v>
      </c>
      <c r="O14" s="24" t="n">
        <v>11.56</v>
      </c>
      <c r="P14" s="24" t="n">
        <v>10.13</v>
      </c>
      <c r="Q14" s="24" t="n">
        <v>9.960000000000001</v>
      </c>
      <c r="R14" s="24" t="n">
        <v>15.14</v>
      </c>
      <c r="S14" s="24" t="n">
        <v>15.34</v>
      </c>
      <c r="T14" s="24" t="n">
        <v>14.89</v>
      </c>
      <c r="U14" s="24" t="n">
        <v>15.44</v>
      </c>
      <c r="V14" s="24" t="n">
        <v>11.12</v>
      </c>
      <c r="W14" s="24" t="n">
        <v>11.2</v>
      </c>
      <c r="X14" s="24" t="n">
        <v>10.55</v>
      </c>
      <c r="Y14" s="7" t="n">
        <v>10.85</v>
      </c>
      <c r="AA14" s="2" t="inlineStr">
        <is>
          <t>Dec</t>
        </is>
      </c>
      <c r="AB14" s="3" t="n">
        <v>11.86</v>
      </c>
      <c r="AC14" s="3" t="n">
        <v>2.19</v>
      </c>
      <c r="AD14" s="3" t="n">
        <v>2.19</v>
      </c>
      <c r="AE14" s="3" t="n">
        <v>3.96</v>
      </c>
      <c r="AF14" s="3" t="n">
        <v>5.14</v>
      </c>
      <c r="AG14" s="4" t="n">
        <v>5.1</v>
      </c>
    </row>
    <row r="15" ht="13.5" customHeight="1" s="158" thickBot="1">
      <c r="B15" s="11" t="inlineStr">
        <is>
          <t>Tot</t>
        </is>
      </c>
      <c r="C15" s="12" t="n">
        <v>61.94</v>
      </c>
      <c r="D15" s="12" t="n">
        <v>85.93000000000001</v>
      </c>
      <c r="E15" s="12" t="n">
        <v>50.27</v>
      </c>
      <c r="F15" s="12" t="n">
        <v>46.34</v>
      </c>
      <c r="G15" s="12" t="n">
        <v>49.14</v>
      </c>
      <c r="H15" s="12" t="n">
        <v>54.92</v>
      </c>
      <c r="I15" s="12" t="n">
        <v>57.38</v>
      </c>
      <c r="J15" s="12" t="n">
        <v>62.88</v>
      </c>
      <c r="K15" s="12" t="n">
        <v>73.06</v>
      </c>
      <c r="L15" s="12" t="n">
        <v>133.97</v>
      </c>
      <c r="M15" s="12" t="n">
        <v>137.46</v>
      </c>
      <c r="N15" s="63" t="n">
        <v>70.48</v>
      </c>
      <c r="O15" s="12" t="n">
        <v>65.25</v>
      </c>
      <c r="P15" s="12" t="n">
        <v>60.06</v>
      </c>
      <c r="Q15" s="12" t="n">
        <v>55.59</v>
      </c>
      <c r="R15" s="12" t="n">
        <v>91.66</v>
      </c>
      <c r="S15" s="12" t="n">
        <v>92.5</v>
      </c>
      <c r="T15" s="12" t="n">
        <v>81.81999999999999</v>
      </c>
      <c r="U15" s="12" t="n">
        <v>87.97</v>
      </c>
      <c r="V15" s="12" t="n">
        <v>64.90000000000001</v>
      </c>
      <c r="W15" s="12" t="n">
        <v>65.02</v>
      </c>
      <c r="X15" s="12" t="n">
        <v>56.57</v>
      </c>
      <c r="Y15" s="13" t="n">
        <v>60.4</v>
      </c>
      <c r="AA15" s="11" t="inlineStr">
        <is>
          <t>Tot</t>
        </is>
      </c>
      <c r="AB15" s="12" t="n">
        <v>66.84</v>
      </c>
      <c r="AC15" s="12" t="n">
        <v>12.31</v>
      </c>
      <c r="AD15" s="12" t="n">
        <v>14.59</v>
      </c>
      <c r="AE15" s="12" t="n">
        <v>22.38</v>
      </c>
      <c r="AF15" s="12" t="n">
        <v>29.4</v>
      </c>
      <c r="AG15" s="13" t="n">
        <v>25.1</v>
      </c>
    </row>
    <row r="16" ht="13.5" customHeight="1" s="158" thickTop="1">
      <c r="A16" t="inlineStr">
        <is>
          <t>Seasonal Values:</t>
        </is>
      </c>
      <c r="B16" s="167" t="n"/>
      <c r="C16" s="24" t="n"/>
      <c r="D16" s="24" t="n"/>
      <c r="E16" s="24" t="n"/>
      <c r="F16" s="24" t="n"/>
      <c r="G16" s="24" t="n"/>
      <c r="H16" s="24" t="n"/>
      <c r="I16" s="24" t="n"/>
      <c r="J16" s="24" t="n"/>
      <c r="K16" s="24" t="n"/>
      <c r="L16" s="24" t="n"/>
      <c r="M16" s="24" t="n"/>
      <c r="N16" s="62" t="n"/>
      <c r="O16" s="24" t="n"/>
      <c r="P16" s="24" t="n"/>
      <c r="Q16" s="24" t="n"/>
      <c r="R16" s="24" t="n"/>
      <c r="S16" s="24" t="n"/>
      <c r="T16" s="24" t="n"/>
      <c r="U16" s="24" t="n"/>
      <c r="V16" s="24" t="n"/>
      <c r="W16" s="24" t="n"/>
      <c r="X16" s="24" t="n"/>
      <c r="Y16" s="24" t="n"/>
      <c r="AA16" s="80" t="inlineStr">
        <is>
          <t>Tier 2 Results</t>
        </is>
      </c>
    </row>
    <row r="17">
      <c r="B17" s="31" t="inlineStr">
        <is>
          <t>Htg_Coeff</t>
        </is>
      </c>
      <c r="C17" s="36">
        <f>C2</f>
        <v/>
      </c>
      <c r="D17" s="36">
        <f>D2</f>
        <v/>
      </c>
      <c r="E17" s="36">
        <f>E2</f>
        <v/>
      </c>
      <c r="F17" s="36">
        <f>F2</f>
        <v/>
      </c>
      <c r="G17" s="36">
        <f>G2</f>
        <v/>
      </c>
      <c r="H17" s="36">
        <f>H2</f>
        <v/>
      </c>
      <c r="I17" s="36">
        <f>I2</f>
        <v/>
      </c>
      <c r="J17" s="36">
        <f>J2</f>
        <v/>
      </c>
      <c r="K17" s="36">
        <f>K2</f>
        <v/>
      </c>
      <c r="L17" s="36">
        <f>L2</f>
        <v/>
      </c>
      <c r="M17" s="36">
        <f>M2</f>
        <v/>
      </c>
      <c r="N17" s="19">
        <f>N2</f>
        <v/>
      </c>
      <c r="O17" s="36">
        <f>O2</f>
        <v/>
      </c>
      <c r="P17" s="36">
        <f>P2</f>
        <v/>
      </c>
      <c r="Q17" s="36">
        <f>Q2</f>
        <v/>
      </c>
      <c r="R17" s="36">
        <f>R2</f>
        <v/>
      </c>
      <c r="S17" s="36">
        <f>S2</f>
        <v/>
      </c>
      <c r="T17" s="36">
        <f>T2</f>
        <v/>
      </c>
      <c r="U17" s="36">
        <f>U2</f>
        <v/>
      </c>
      <c r="V17" s="36">
        <f>V2</f>
        <v/>
      </c>
      <c r="W17" s="36">
        <f>W2</f>
        <v/>
      </c>
      <c r="X17" s="36">
        <f>X2</f>
        <v/>
      </c>
      <c r="Y17" s="36">
        <f>Y2</f>
        <v/>
      </c>
      <c r="AA17" s="36" t="n"/>
      <c r="AB17" s="36">
        <f>AB2</f>
        <v/>
      </c>
      <c r="AC17" s="36">
        <f>AC2</f>
        <v/>
      </c>
      <c r="AD17" s="36">
        <f>AD2</f>
        <v/>
      </c>
      <c r="AE17" s="36">
        <f>AE2</f>
        <v/>
      </c>
      <c r="AF17" s="36">
        <f>AF2</f>
        <v/>
      </c>
      <c r="AG17" s="36">
        <f>AG2</f>
        <v/>
      </c>
    </row>
    <row r="18">
      <c r="A18" t="n">
        <v>1</v>
      </c>
      <c r="B18" s="30">
        <f>Season_Coeff!N4</f>
        <v/>
      </c>
      <c r="C18" s="26">
        <f>IF($B18*C3&gt;0,$B18*C3,"")</f>
        <v/>
      </c>
      <c r="D18" s="26">
        <f>IF($B18*D3&gt;0,$B18*D3,"")</f>
        <v/>
      </c>
      <c r="E18" s="26">
        <f>IF($B18*E3&gt;0,$B18*E3,"")</f>
        <v/>
      </c>
      <c r="F18" s="26">
        <f>IF($B18*F3&gt;0,$B18*F3,"")</f>
        <v/>
      </c>
      <c r="G18" s="26">
        <f>IF($B18*G3&gt;0,$B18*G3,"")</f>
        <v/>
      </c>
      <c r="H18" s="26">
        <f>IF($B18*H3&gt;0,$B18*H3,"")</f>
        <v/>
      </c>
      <c r="I18" s="26">
        <f>IF($B18*I3&gt;0,$B18*I3,"")</f>
        <v/>
      </c>
      <c r="J18" s="26">
        <f>IF($B18*J3&gt;0,$B18*J3,"")</f>
        <v/>
      </c>
      <c r="K18" s="26">
        <f>IF($B18*K3&gt;0,$B18*K3,"")</f>
        <v/>
      </c>
      <c r="L18" s="26">
        <f>IF($B18*L3&gt;0,$B18*L3,"")</f>
        <v/>
      </c>
      <c r="M18" s="26">
        <f>IF($B18*M3&gt;0,$B18*M3,"")</f>
        <v/>
      </c>
      <c r="N18" s="20">
        <f>IF($B18*N3&gt;0,$B18*N3,"")</f>
        <v/>
      </c>
      <c r="O18" s="26">
        <f>IF($B18*O3&gt;0,$B18*O3,"")</f>
        <v/>
      </c>
      <c r="P18" s="26">
        <f>IF($B18*P3&gt;0,$B18*P3,"")</f>
        <v/>
      </c>
      <c r="Q18" s="26">
        <f>IF($B18*Q3&gt;0,$B18*Q3,"")</f>
        <v/>
      </c>
      <c r="R18" s="26">
        <f>IF($B18*R3&gt;0,$B18*R3,"")</f>
        <v/>
      </c>
      <c r="S18" s="26">
        <f>IF($B18*S3&gt;0,$B18*S3,"")</f>
        <v/>
      </c>
      <c r="T18" s="26">
        <f>IF($B18*T3&gt;0,$B18*T3,"")</f>
        <v/>
      </c>
      <c r="U18" s="26">
        <f>IF($B18*U3&gt;0,$B18*U3,"")</f>
        <v/>
      </c>
      <c r="V18" s="26">
        <f>IF($B18*V3&gt;0,$B18*V3,"")</f>
        <v/>
      </c>
      <c r="W18" s="26">
        <f>IF($B18*W3&gt;0,$B18*W3,"")</f>
        <v/>
      </c>
      <c r="X18" s="26">
        <f>IF($B18*X3&gt;0,$B18*X3,"")</f>
        <v/>
      </c>
      <c r="Y18" s="26">
        <f>IF($B18*Y3&gt;0,$B18*Y3,"")</f>
        <v/>
      </c>
      <c r="AA18" s="26" t="n"/>
      <c r="AB18" s="26">
        <f>IF($B18*AB3&gt;0,$B18*AB3,"")</f>
        <v/>
      </c>
      <c r="AC18" s="26">
        <f>IF($B18*AC3&gt;0,$B18*AC3,"")</f>
        <v/>
      </c>
      <c r="AD18" s="26">
        <f>IF($B18*AD3&gt;0,$B18*AD3,"")</f>
        <v/>
      </c>
      <c r="AE18" s="26">
        <f>IF($B18*AE3&gt;0,$B18*AE3,"")</f>
        <v/>
      </c>
      <c r="AF18" s="26">
        <f>IF($B18*AF3&gt;0,$B18*AF3,"")</f>
        <v/>
      </c>
      <c r="AG18" s="26">
        <f>IF($B18*AG3&gt;0,$B18*AG3,"")</f>
        <v/>
      </c>
    </row>
    <row r="19">
      <c r="A19" t="n">
        <v>2</v>
      </c>
      <c r="B19" s="30">
        <f>Season_Coeff!N5</f>
        <v/>
      </c>
      <c r="C19" s="26">
        <f>IF($B19*C4&gt;0,$B19*C4,"")</f>
        <v/>
      </c>
      <c r="D19" s="26">
        <f>IF($B19*D4&gt;0,$B19*D4,"")</f>
        <v/>
      </c>
      <c r="E19" s="26">
        <f>IF($B19*E4&gt;0,$B19*E4,"")</f>
        <v/>
      </c>
      <c r="F19" s="26">
        <f>IF($B19*F4&gt;0,$B19*F4,"")</f>
        <v/>
      </c>
      <c r="G19" s="26">
        <f>IF($B19*G4&gt;0,$B19*G4,"")</f>
        <v/>
      </c>
      <c r="H19" s="26">
        <f>IF($B19*H4&gt;0,$B19*H4,"")</f>
        <v/>
      </c>
      <c r="I19" s="26">
        <f>IF($B19*I4&gt;0,$B19*I4,"")</f>
        <v/>
      </c>
      <c r="J19" s="26">
        <f>IF($B19*J4&gt;0,$B19*J4,"")</f>
        <v/>
      </c>
      <c r="K19" s="26">
        <f>IF($B19*K4&gt;0,$B19*K4,"")</f>
        <v/>
      </c>
      <c r="L19" s="26">
        <f>IF($B19*L4&gt;0,$B19*L4,"")</f>
        <v/>
      </c>
      <c r="M19" s="26">
        <f>IF($B19*M4&gt;0,$B19*M4,"")</f>
        <v/>
      </c>
      <c r="N19" s="20">
        <f>IF($B19*N4&gt;0,$B19*N4,"")</f>
        <v/>
      </c>
      <c r="O19" s="26">
        <f>IF($B19*O4&gt;0,$B19*O4,"")</f>
        <v/>
      </c>
      <c r="P19" s="26">
        <f>IF($B19*P4&gt;0,$B19*P4,"")</f>
        <v/>
      </c>
      <c r="Q19" s="26">
        <f>IF($B19*Q4&gt;0,$B19*Q4,"")</f>
        <v/>
      </c>
      <c r="R19" s="26">
        <f>IF($B19*R4&gt;0,$B19*R4,"")</f>
        <v/>
      </c>
      <c r="S19" s="26">
        <f>IF($B19*S4&gt;0,$B19*S4,"")</f>
        <v/>
      </c>
      <c r="T19" s="26">
        <f>IF($B19*T4&gt;0,$B19*T4,"")</f>
        <v/>
      </c>
      <c r="U19" s="26">
        <f>IF($B19*U4&gt;0,$B19*U4,"")</f>
        <v/>
      </c>
      <c r="V19" s="26">
        <f>IF($B19*V4&gt;0,$B19*V4,"")</f>
        <v/>
      </c>
      <c r="W19" s="26">
        <f>IF($B19*W4&gt;0,$B19*W4,"")</f>
        <v/>
      </c>
      <c r="X19" s="26">
        <f>IF($B19*X4&gt;0,$B19*X4,"")</f>
        <v/>
      </c>
      <c r="Y19" s="26">
        <f>IF($B19*Y4&gt;0,$B19*Y4,"")</f>
        <v/>
      </c>
      <c r="AA19" s="26" t="n"/>
      <c r="AB19" s="26">
        <f>IF($B19*AB4&gt;0,$B19*AB4,"")</f>
        <v/>
      </c>
      <c r="AC19" s="26">
        <f>IF($B19*AC4&gt;0,$B19*AC4,"")</f>
        <v/>
      </c>
      <c r="AD19" s="26">
        <f>IF($B19*AD4&gt;0,$B19*AD4,"")</f>
        <v/>
      </c>
      <c r="AE19" s="26">
        <f>IF($B19*AE4&gt;0,$B19*AE4,"")</f>
        <v/>
      </c>
      <c r="AF19" s="26">
        <f>IF($B19*AF4&gt;0,$B19*AF4,"")</f>
        <v/>
      </c>
      <c r="AG19" s="26">
        <f>IF($B19*AG4&gt;0,$B19*AG4,"")</f>
        <v/>
      </c>
    </row>
    <row r="20">
      <c r="A20" t="n">
        <v>3</v>
      </c>
      <c r="B20" s="30">
        <f>Season_Coeff!N6</f>
        <v/>
      </c>
      <c r="C20" s="26">
        <f>IF($B20*C5&gt;0,$B20*C5,"")</f>
        <v/>
      </c>
      <c r="D20" s="26">
        <f>IF($B20*D5&gt;0,$B20*D5,"")</f>
        <v/>
      </c>
      <c r="E20" s="26">
        <f>IF($B20*E5&gt;0,$B20*E5,"")</f>
        <v/>
      </c>
      <c r="F20" s="26">
        <f>IF($B20*F5&gt;0,$B20*F5,"")</f>
        <v/>
      </c>
      <c r="G20" s="26">
        <f>IF($B20*G5&gt;0,$B20*G5,"")</f>
        <v/>
      </c>
      <c r="H20" s="26">
        <f>IF($B20*H5&gt;0,$B20*H5,"")</f>
        <v/>
      </c>
      <c r="I20" s="26">
        <f>IF($B20*I5&gt;0,$B20*I5,"")</f>
        <v/>
      </c>
      <c r="J20" s="26">
        <f>IF($B20*J5&gt;0,$B20*J5,"")</f>
        <v/>
      </c>
      <c r="K20" s="26">
        <f>IF($B20*K5&gt;0,$B20*K5,"")</f>
        <v/>
      </c>
      <c r="L20" s="26">
        <f>IF($B20*L5&gt;0,$B20*L5,"")</f>
        <v/>
      </c>
      <c r="M20" s="26">
        <f>IF($B20*M5&gt;0,$B20*M5,"")</f>
        <v/>
      </c>
      <c r="N20" s="20">
        <f>IF($B20*N5&gt;0,$B20*N5,"")</f>
        <v/>
      </c>
      <c r="O20" s="26">
        <f>IF($B20*O5&gt;0,$B20*O5,"")</f>
        <v/>
      </c>
      <c r="P20" s="26">
        <f>IF($B20*P5&gt;0,$B20*P5,"")</f>
        <v/>
      </c>
      <c r="Q20" s="26">
        <f>IF($B20*Q5&gt;0,$B20*Q5,"")</f>
        <v/>
      </c>
      <c r="R20" s="26">
        <f>IF($B20*R5&gt;0,$B20*R5,"")</f>
        <v/>
      </c>
      <c r="S20" s="26">
        <f>IF($B20*S5&gt;0,$B20*S5,"")</f>
        <v/>
      </c>
      <c r="T20" s="26">
        <f>IF($B20*T5&gt;0,$B20*T5,"")</f>
        <v/>
      </c>
      <c r="U20" s="26">
        <f>IF($B20*U5&gt;0,$B20*U5,"")</f>
        <v/>
      </c>
      <c r="V20" s="26">
        <f>IF($B20*V5&gt;0,$B20*V5,"")</f>
        <v/>
      </c>
      <c r="W20" s="26">
        <f>IF($B20*W5&gt;0,$B20*W5,"")</f>
        <v/>
      </c>
      <c r="X20" s="26">
        <f>IF($B20*X5&gt;0,$B20*X5,"")</f>
        <v/>
      </c>
      <c r="Y20" s="26">
        <f>IF($B20*Y5&gt;0,$B20*Y5,"")</f>
        <v/>
      </c>
      <c r="AA20" s="26" t="n"/>
      <c r="AB20" s="26">
        <f>IF($B20*AB5&gt;0,$B20*AB5,"")</f>
        <v/>
      </c>
      <c r="AC20" s="26">
        <f>IF($B20*AC5&gt;0,$B20*AC5,"")</f>
        <v/>
      </c>
      <c r="AD20" s="26">
        <f>IF($B20*AD5&gt;0,$B20*AD5,"")</f>
        <v/>
      </c>
      <c r="AE20" s="26">
        <f>IF($B20*AE5&gt;0,$B20*AE5,"")</f>
        <v/>
      </c>
      <c r="AF20" s="26">
        <f>IF($B20*AF5&gt;0,$B20*AF5,"")</f>
        <v/>
      </c>
      <c r="AG20" s="26">
        <f>IF($B20*AG5&gt;0,$B20*AG5,"")</f>
        <v/>
      </c>
    </row>
    <row r="21">
      <c r="A21" t="n">
        <v>4</v>
      </c>
      <c r="B21" s="30">
        <f>Season_Coeff!N7</f>
        <v/>
      </c>
      <c r="C21" s="26">
        <f>IF($B21*C6&gt;0,$B21*C6,"")</f>
        <v/>
      </c>
      <c r="D21" s="26">
        <f>IF($B21*D6&gt;0,$B21*D6,"")</f>
        <v/>
      </c>
      <c r="E21" s="26">
        <f>IF($B21*E6&gt;0,$B21*E6,"")</f>
        <v/>
      </c>
      <c r="F21" s="26">
        <f>IF($B21*F6&gt;0,$B21*F6,"")</f>
        <v/>
      </c>
      <c r="G21" s="26">
        <f>IF($B21*G6&gt;0,$B21*G6,"")</f>
        <v/>
      </c>
      <c r="H21" s="26">
        <f>IF($B21*H6&gt;0,$B21*H6,"")</f>
        <v/>
      </c>
      <c r="I21" s="26">
        <f>IF($B21*I6&gt;0,$B21*I6,"")</f>
        <v/>
      </c>
      <c r="J21" s="26">
        <f>IF($B21*J6&gt;0,$B21*J6,"")</f>
        <v/>
      </c>
      <c r="K21" s="26">
        <f>IF($B21*K6&gt;0,$B21*K6,"")</f>
        <v/>
      </c>
      <c r="L21" s="26">
        <f>IF($B21*L6&gt;0,$B21*L6,"")</f>
        <v/>
      </c>
      <c r="M21" s="26">
        <f>IF($B21*M6&gt;0,$B21*M6,"")</f>
        <v/>
      </c>
      <c r="N21" s="20">
        <f>IF($B21*N6&gt;0,$B21*N6,"")</f>
        <v/>
      </c>
      <c r="O21" s="26">
        <f>IF($B21*O6&gt;0,$B21*O6,"")</f>
        <v/>
      </c>
      <c r="P21" s="26">
        <f>IF($B21*P6&gt;0,$B21*P6,"")</f>
        <v/>
      </c>
      <c r="Q21" s="26">
        <f>IF($B21*Q6&gt;0,$B21*Q6,"")</f>
        <v/>
      </c>
      <c r="R21" s="26">
        <f>IF($B21*R6&gt;0,$B21*R6,"")</f>
        <v/>
      </c>
      <c r="S21" s="26">
        <f>IF($B21*S6&gt;0,$B21*S6,"")</f>
        <v/>
      </c>
      <c r="T21" s="26">
        <f>IF($B21*T6&gt;0,$B21*T6,"")</f>
        <v/>
      </c>
      <c r="U21" s="26">
        <f>IF($B21*U6&gt;0,$B21*U6,"")</f>
        <v/>
      </c>
      <c r="V21" s="26">
        <f>IF($B21*V6&gt;0,$B21*V6,"")</f>
        <v/>
      </c>
      <c r="W21" s="26">
        <f>IF($B21*W6&gt;0,$B21*W6,"")</f>
        <v/>
      </c>
      <c r="X21" s="26">
        <f>IF($B21*X6&gt;0,$B21*X6,"")</f>
        <v/>
      </c>
      <c r="Y21" s="26">
        <f>IF($B21*Y6&gt;0,$B21*Y6,"")</f>
        <v/>
      </c>
      <c r="AA21" s="26" t="n"/>
      <c r="AB21" s="26">
        <f>IF($B21*AB6&gt;0,$B21*AB6,"")</f>
        <v/>
      </c>
      <c r="AC21" s="26">
        <f>IF($B21*AC6&gt;0,$B21*AC6,"")</f>
        <v/>
      </c>
      <c r="AD21" s="26">
        <f>IF($B21*AD6&gt;0,$B21*AD6,"")</f>
        <v/>
      </c>
      <c r="AE21" s="26">
        <f>IF($B21*AE6&gt;0,$B21*AE6,"")</f>
        <v/>
      </c>
      <c r="AF21" s="26">
        <f>IF($B21*AF6&gt;0,$B21*AF6,"")</f>
        <v/>
      </c>
      <c r="AG21" s="26">
        <f>IF($B21*AG6&gt;0,$B21*AG6,"")</f>
        <v/>
      </c>
    </row>
    <row r="22">
      <c r="A22" t="n">
        <v>5</v>
      </c>
      <c r="B22" s="30">
        <f>Season_Coeff!N8</f>
        <v/>
      </c>
      <c r="C22" s="26">
        <f>IF($B22*C7&gt;0,$B22*C7,"")</f>
        <v/>
      </c>
      <c r="D22" s="26">
        <f>IF($B22*D7&gt;0,$B22*D7,"")</f>
        <v/>
      </c>
      <c r="E22" s="26">
        <f>IF($B22*E7&gt;0,$B22*E7,"")</f>
        <v/>
      </c>
      <c r="F22" s="26">
        <f>IF($B22*F7&gt;0,$B22*F7,"")</f>
        <v/>
      </c>
      <c r="G22" s="26">
        <f>IF($B22*G7&gt;0,$B22*G7,"")</f>
        <v/>
      </c>
      <c r="H22" s="26">
        <f>IF($B22*H7&gt;0,$B22*H7,"")</f>
        <v/>
      </c>
      <c r="I22" s="26">
        <f>IF($B22*I7&gt;0,$B22*I7,"")</f>
        <v/>
      </c>
      <c r="J22" s="26">
        <f>IF($B22*J7&gt;0,$B22*J7,"")</f>
        <v/>
      </c>
      <c r="K22" s="26">
        <f>IF($B22*K7&gt;0,$B22*K7,"")</f>
        <v/>
      </c>
      <c r="L22" s="26">
        <f>IF($B22*L7&gt;0,$B22*L7,"")</f>
        <v/>
      </c>
      <c r="M22" s="26">
        <f>IF($B22*M7&gt;0,$B22*M7,"")</f>
        <v/>
      </c>
      <c r="N22" s="20">
        <f>IF($B22*N7&gt;0,$B22*N7,"")</f>
        <v/>
      </c>
      <c r="O22" s="26">
        <f>IF($B22*O7&gt;0,$B22*O7,"")</f>
        <v/>
      </c>
      <c r="P22" s="26">
        <f>IF($B22*P7&gt;0,$B22*P7,"")</f>
        <v/>
      </c>
      <c r="Q22" s="26">
        <f>IF($B22*Q7&gt;0,$B22*Q7,"")</f>
        <v/>
      </c>
      <c r="R22" s="26">
        <f>IF($B22*R7&gt;0,$B22*R7,"")</f>
        <v/>
      </c>
      <c r="S22" s="26">
        <f>IF($B22*S7&gt;0,$B22*S7,"")</f>
        <v/>
      </c>
      <c r="T22" s="26">
        <f>IF($B22*T7&gt;0,$B22*T7,"")</f>
        <v/>
      </c>
      <c r="U22" s="26">
        <f>IF($B22*U7&gt;0,$B22*U7,"")</f>
        <v/>
      </c>
      <c r="V22" s="26">
        <f>IF($B22*V7&gt;0,$B22*V7,"")</f>
        <v/>
      </c>
      <c r="W22" s="26">
        <f>IF($B22*W7&gt;0,$B22*W7,"")</f>
        <v/>
      </c>
      <c r="X22" s="26">
        <f>IF($B22*X7&gt;0,$B22*X7,"")</f>
        <v/>
      </c>
      <c r="Y22" s="26">
        <f>IF($B22*Y7&gt;0,$B22*Y7,"")</f>
        <v/>
      </c>
      <c r="AA22" s="26" t="n"/>
      <c r="AB22" s="26">
        <f>IF($B22*AB7&gt;0,$B22*AB7,"")</f>
        <v/>
      </c>
      <c r="AC22" s="26">
        <f>IF($B22*AC7&gt;0,$B22*AC7,"")</f>
        <v/>
      </c>
      <c r="AD22" s="26">
        <f>IF($B22*AD7&gt;0,$B22*AD7,"")</f>
        <v/>
      </c>
      <c r="AE22" s="26">
        <f>IF($B22*AE7&gt;0,$B22*AE7,"")</f>
        <v/>
      </c>
      <c r="AF22" s="26">
        <f>IF($B22*AF7&gt;0,$B22*AF7,"")</f>
        <v/>
      </c>
      <c r="AG22" s="26">
        <f>IF($B22*AG7&gt;0,$B22*AG7,"")</f>
        <v/>
      </c>
    </row>
    <row r="23">
      <c r="A23" t="n">
        <v>6</v>
      </c>
      <c r="B23" s="30">
        <f>Season_Coeff!N9</f>
        <v/>
      </c>
      <c r="C23" s="26">
        <f>IF($B23*C8&gt;0,$B23*C8,"")</f>
        <v/>
      </c>
      <c r="D23" s="26">
        <f>IF($B23*D8&gt;0,$B23*D8,"")</f>
        <v/>
      </c>
      <c r="E23" s="26">
        <f>IF($B23*E8&gt;0,$B23*E8,"")</f>
        <v/>
      </c>
      <c r="F23" s="26">
        <f>IF($B23*F8&gt;0,$B23*F8,"")</f>
        <v/>
      </c>
      <c r="G23" s="26">
        <f>IF($B23*G8&gt;0,$B23*G8,"")</f>
        <v/>
      </c>
      <c r="H23" s="26">
        <f>IF($B23*H8&gt;0,$B23*H8,"")</f>
        <v/>
      </c>
      <c r="I23" s="26">
        <f>IF($B23*I8&gt;0,$B23*I8,"")</f>
        <v/>
      </c>
      <c r="J23" s="26">
        <f>IF($B23*J8&gt;0,$B23*J8,"")</f>
        <v/>
      </c>
      <c r="K23" s="26">
        <f>IF($B23*K8&gt;0,$B23*K8,"")</f>
        <v/>
      </c>
      <c r="L23" s="26">
        <f>IF($B23*L8&gt;0,$B23*L8,"")</f>
        <v/>
      </c>
      <c r="M23" s="26">
        <f>IF($B23*M8&gt;0,$B23*M8,"")</f>
        <v/>
      </c>
      <c r="N23" s="20">
        <f>IF($B23*N8&gt;0,$B23*N8,"")</f>
        <v/>
      </c>
      <c r="O23" s="26">
        <f>IF($B23*O8&gt;0,$B23*O8,"")</f>
        <v/>
      </c>
      <c r="P23" s="26">
        <f>IF($B23*P8&gt;0,$B23*P8,"")</f>
        <v/>
      </c>
      <c r="Q23" s="26">
        <f>IF($B23*Q8&gt;0,$B23*Q8,"")</f>
        <v/>
      </c>
      <c r="R23" s="26">
        <f>IF($B23*R8&gt;0,$B23*R8,"")</f>
        <v/>
      </c>
      <c r="S23" s="26">
        <f>IF($B23*S8&gt;0,$B23*S8,"")</f>
        <v/>
      </c>
      <c r="T23" s="26">
        <f>IF($B23*T8&gt;0,$B23*T8,"")</f>
        <v/>
      </c>
      <c r="U23" s="26">
        <f>IF($B23*U8&gt;0,$B23*U8,"")</f>
        <v/>
      </c>
      <c r="V23" s="26">
        <f>IF($B23*V8&gt;0,$B23*V8,"")</f>
        <v/>
      </c>
      <c r="W23" s="26">
        <f>IF($B23*W8&gt;0,$B23*W8,"")</f>
        <v/>
      </c>
      <c r="X23" s="26">
        <f>IF($B23*X8&gt;0,$B23*X8,"")</f>
        <v/>
      </c>
      <c r="Y23" s="26">
        <f>IF($B23*Y8&gt;0,$B23*Y8,"")</f>
        <v/>
      </c>
      <c r="AA23" s="26" t="n"/>
      <c r="AB23" s="26">
        <f>IF($B23*AB8&gt;0,$B23*AB8,"")</f>
        <v/>
      </c>
      <c r="AC23" s="26">
        <f>IF($B23*AC8&gt;0,$B23*AC8,"")</f>
        <v/>
      </c>
      <c r="AD23" s="26">
        <f>IF($B23*AD8&gt;0,$B23*AD8,"")</f>
        <v/>
      </c>
      <c r="AE23" s="26">
        <f>IF($B23*AE8&gt;0,$B23*AE8,"")</f>
        <v/>
      </c>
      <c r="AF23" s="26">
        <f>IF($B23*AF8&gt;0,$B23*AF8,"")</f>
        <v/>
      </c>
      <c r="AG23" s="26">
        <f>IF($B23*AG8&gt;0,$B23*AG8,"")</f>
        <v/>
      </c>
    </row>
    <row r="24">
      <c r="A24" t="n">
        <v>7</v>
      </c>
      <c r="B24" s="30">
        <f>Season_Coeff!N10</f>
        <v/>
      </c>
      <c r="C24" s="26">
        <f>IF($B24*C9&gt;0,$B24*C9,"")</f>
        <v/>
      </c>
      <c r="D24" s="26">
        <f>IF($B24*D9&gt;0,$B24*D9,"")</f>
        <v/>
      </c>
      <c r="E24" s="26">
        <f>IF($B24*E9&gt;0,$B24*E9,"")</f>
        <v/>
      </c>
      <c r="F24" s="26">
        <f>IF($B24*F9&gt;0,$B24*F9,"")</f>
        <v/>
      </c>
      <c r="G24" s="26">
        <f>IF($B24*G9&gt;0,$B24*G9,"")</f>
        <v/>
      </c>
      <c r="H24" s="26">
        <f>IF($B24*H9&gt;0,$B24*H9,"")</f>
        <v/>
      </c>
      <c r="I24" s="26">
        <f>IF($B24*I9&gt;0,$B24*I9,"")</f>
        <v/>
      </c>
      <c r="J24" s="26">
        <f>IF($B24*J9&gt;0,$B24*J9,"")</f>
        <v/>
      </c>
      <c r="K24" s="26">
        <f>IF($B24*K9&gt;0,$B24*K9,"")</f>
        <v/>
      </c>
      <c r="L24" s="26">
        <f>IF($B24*L9&gt;0,$B24*L9,"")</f>
        <v/>
      </c>
      <c r="M24" s="26">
        <f>IF($B24*M9&gt;0,$B24*M9,"")</f>
        <v/>
      </c>
      <c r="N24" s="20">
        <f>IF($B24*N9&gt;0,$B24*N9,"")</f>
        <v/>
      </c>
      <c r="O24" s="26">
        <f>IF($B24*O9&gt;0,$B24*O9,"")</f>
        <v/>
      </c>
      <c r="P24" s="26">
        <f>IF($B24*P9&gt;0,$B24*P9,"")</f>
        <v/>
      </c>
      <c r="Q24" s="26">
        <f>IF($B24*Q9&gt;0,$B24*Q9,"")</f>
        <v/>
      </c>
      <c r="R24" s="26">
        <f>IF($B24*R9&gt;0,$B24*R9,"")</f>
        <v/>
      </c>
      <c r="S24" s="26">
        <f>IF($B24*S9&gt;0,$B24*S9,"")</f>
        <v/>
      </c>
      <c r="T24" s="26">
        <f>IF($B24*T9&gt;0,$B24*T9,"")</f>
        <v/>
      </c>
      <c r="U24" s="26">
        <f>IF($B24*U9&gt;0,$B24*U9,"")</f>
        <v/>
      </c>
      <c r="V24" s="26">
        <f>IF($B24*V9&gt;0,$B24*V9,"")</f>
        <v/>
      </c>
      <c r="W24" s="26">
        <f>IF($B24*W9&gt;0,$B24*W9,"")</f>
        <v/>
      </c>
      <c r="X24" s="26">
        <f>IF($B24*X9&gt;0,$B24*X9,"")</f>
        <v/>
      </c>
      <c r="Y24" s="26">
        <f>IF($B24*Y9&gt;0,$B24*Y9,"")</f>
        <v/>
      </c>
      <c r="AA24" s="26" t="n"/>
      <c r="AB24" s="26">
        <f>IF($B24*AB9&gt;0,$B24*AB9,"")</f>
        <v/>
      </c>
      <c r="AC24" s="26">
        <f>IF($B24*AC9&gt;0,$B24*AC9,"")</f>
        <v/>
      </c>
      <c r="AD24" s="26">
        <f>IF($B24*AD9&gt;0,$B24*AD9,"")</f>
        <v/>
      </c>
      <c r="AE24" s="26">
        <f>IF($B24*AE9&gt;0,$B24*AE9,"")</f>
        <v/>
      </c>
      <c r="AF24" s="26">
        <f>IF($B24*AF9&gt;0,$B24*AF9,"")</f>
        <v/>
      </c>
      <c r="AG24" s="26">
        <f>IF($B24*AG9&gt;0,$B24*AG9,"")</f>
        <v/>
      </c>
    </row>
    <row r="25">
      <c r="A25" t="n">
        <v>8</v>
      </c>
      <c r="B25" s="30">
        <f>Season_Coeff!N11</f>
        <v/>
      </c>
      <c r="C25" s="26">
        <f>IF($B25*C10&gt;0,$B25*C10,"")</f>
        <v/>
      </c>
      <c r="D25" s="26">
        <f>IF($B25*D10&gt;0,$B25*D10,"")</f>
        <v/>
      </c>
      <c r="E25" s="26">
        <f>IF($B25*E10&gt;0,$B25*E10,"")</f>
        <v/>
      </c>
      <c r="F25" s="26">
        <f>IF($B25*F10&gt;0,$B25*F10,"")</f>
        <v/>
      </c>
      <c r="G25" s="26">
        <f>IF($B25*G10&gt;0,$B25*G10,"")</f>
        <v/>
      </c>
      <c r="H25" s="26">
        <f>IF($B25*H10&gt;0,$B25*H10,"")</f>
        <v/>
      </c>
      <c r="I25" s="26">
        <f>IF($B25*I10&gt;0,$B25*I10,"")</f>
        <v/>
      </c>
      <c r="J25" s="26">
        <f>IF($B25*J10&gt;0,$B25*J10,"")</f>
        <v/>
      </c>
      <c r="K25" s="26">
        <f>IF($B25*K10&gt;0,$B25*K10,"")</f>
        <v/>
      </c>
      <c r="L25" s="26">
        <f>IF($B25*L10&gt;0,$B25*L10,"")</f>
        <v/>
      </c>
      <c r="M25" s="26">
        <f>IF($B25*M10&gt;0,$B25*M10,"")</f>
        <v/>
      </c>
      <c r="N25" s="20">
        <f>IF($B25*N10&gt;0,$B25*N10,"")</f>
        <v/>
      </c>
      <c r="O25" s="26">
        <f>IF($B25*O10&gt;0,$B25*O10,"")</f>
        <v/>
      </c>
      <c r="P25" s="26">
        <f>IF($B25*P10&gt;0,$B25*P10,"")</f>
        <v/>
      </c>
      <c r="Q25" s="26">
        <f>IF($B25*Q10&gt;0,$B25*Q10,"")</f>
        <v/>
      </c>
      <c r="R25" s="26">
        <f>IF($B25*R10&gt;0,$B25*R10,"")</f>
        <v/>
      </c>
      <c r="S25" s="26">
        <f>IF($B25*S10&gt;0,$B25*S10,"")</f>
        <v/>
      </c>
      <c r="T25" s="26">
        <f>IF($B25*T10&gt;0,$B25*T10,"")</f>
        <v/>
      </c>
      <c r="U25" s="26">
        <f>IF($B25*U10&gt;0,$B25*U10,"")</f>
        <v/>
      </c>
      <c r="V25" s="26">
        <f>IF($B25*V10&gt;0,$B25*V10,"")</f>
        <v/>
      </c>
      <c r="W25" s="26">
        <f>IF($B25*W10&gt;0,$B25*W10,"")</f>
        <v/>
      </c>
      <c r="X25" s="26">
        <f>IF($B25*X10&gt;0,$B25*X10,"")</f>
        <v/>
      </c>
      <c r="Y25" s="26">
        <f>IF($B25*Y10&gt;0,$B25*Y10,"")</f>
        <v/>
      </c>
      <c r="AA25" s="26" t="n"/>
      <c r="AB25" s="26">
        <f>IF($B25*AB10&gt;0,$B25*AB10,"")</f>
        <v/>
      </c>
      <c r="AC25" s="26">
        <f>IF($B25*AC10&gt;0,$B25*AC10,"")</f>
        <v/>
      </c>
      <c r="AD25" s="26">
        <f>IF($B25*AD10&gt;0,$B25*AD10,"")</f>
        <v/>
      </c>
      <c r="AE25" s="26">
        <f>IF($B25*AE10&gt;0,$B25*AE10,"")</f>
        <v/>
      </c>
      <c r="AF25" s="26">
        <f>IF($B25*AF10&gt;0,$B25*AF10,"")</f>
        <v/>
      </c>
      <c r="AG25" s="26">
        <f>IF($B25*AG10&gt;0,$B25*AG10,"")</f>
        <v/>
      </c>
    </row>
    <row r="26">
      <c r="A26" t="n">
        <v>9</v>
      </c>
      <c r="B26" s="30">
        <f>Season_Coeff!N12</f>
        <v/>
      </c>
      <c r="C26" s="26">
        <f>IF($B26*C11&gt;0,$B26*C11,"")</f>
        <v/>
      </c>
      <c r="D26" s="26">
        <f>IF($B26*D11&gt;0,$B26*D11,"")</f>
        <v/>
      </c>
      <c r="E26" s="26">
        <f>IF($B26*E11&gt;0,$B26*E11,"")</f>
        <v/>
      </c>
      <c r="F26" s="26">
        <f>IF($B26*F11&gt;0,$B26*F11,"")</f>
        <v/>
      </c>
      <c r="G26" s="26">
        <f>IF($B26*G11&gt;0,$B26*G11,"")</f>
        <v/>
      </c>
      <c r="H26" s="26">
        <f>IF($B26*H11&gt;0,$B26*H11,"")</f>
        <v/>
      </c>
      <c r="I26" s="26">
        <f>IF($B26*I11&gt;0,$B26*I11,"")</f>
        <v/>
      </c>
      <c r="J26" s="26">
        <f>IF($B26*J11&gt;0,$B26*J11,"")</f>
        <v/>
      </c>
      <c r="K26" s="26">
        <f>IF($B26*K11&gt;0,$B26*K11,"")</f>
        <v/>
      </c>
      <c r="L26" s="26">
        <f>IF($B26*L11&gt;0,$B26*L11,"")</f>
        <v/>
      </c>
      <c r="M26" s="26">
        <f>IF($B26*M11&gt;0,$B26*M11,"")</f>
        <v/>
      </c>
      <c r="N26" s="20">
        <f>IF($B26*N11&gt;0,$B26*N11,"")</f>
        <v/>
      </c>
      <c r="O26" s="26">
        <f>IF($B26*O11&gt;0,$B26*O11,"")</f>
        <v/>
      </c>
      <c r="P26" s="26">
        <f>IF($B26*P11&gt;0,$B26*P11,"")</f>
        <v/>
      </c>
      <c r="Q26" s="26">
        <f>IF($B26*Q11&gt;0,$B26*Q11,"")</f>
        <v/>
      </c>
      <c r="R26" s="26">
        <f>IF($B26*R11&gt;0,$B26*R11,"")</f>
        <v/>
      </c>
      <c r="S26" s="26">
        <f>IF($B26*S11&gt;0,$B26*S11,"")</f>
        <v/>
      </c>
      <c r="T26" s="26">
        <f>IF($B26*T11&gt;0,$B26*T11,"")</f>
        <v/>
      </c>
      <c r="U26" s="26">
        <f>IF($B26*U11&gt;0,$B26*U11,"")</f>
        <v/>
      </c>
      <c r="V26" s="26">
        <f>IF($B26*V11&gt;0,$B26*V11,"")</f>
        <v/>
      </c>
      <c r="W26" s="26">
        <f>IF($B26*W11&gt;0,$B26*W11,"")</f>
        <v/>
      </c>
      <c r="X26" s="26">
        <f>IF($B26*X11&gt;0,$B26*X11,"")</f>
        <v/>
      </c>
      <c r="Y26" s="26">
        <f>IF($B26*Y11&gt;0,$B26*Y11,"")</f>
        <v/>
      </c>
      <c r="AA26" s="26" t="n"/>
      <c r="AB26" s="26">
        <f>IF($B26*AB11&gt;0,$B26*AB11,"")</f>
        <v/>
      </c>
      <c r="AC26" s="26">
        <f>IF($B26*AC11&gt;0,$B26*AC11,"")</f>
        <v/>
      </c>
      <c r="AD26" s="26">
        <f>IF($B26*AD11&gt;0,$B26*AD11,"")</f>
        <v/>
      </c>
      <c r="AE26" s="26">
        <f>IF($B26*AE11&gt;0,$B26*AE11,"")</f>
        <v/>
      </c>
      <c r="AF26" s="26">
        <f>IF($B26*AF11&gt;0,$B26*AF11,"")</f>
        <v/>
      </c>
      <c r="AG26" s="26">
        <f>IF($B26*AG11&gt;0,$B26*AG11,"")</f>
        <v/>
      </c>
    </row>
    <row r="27">
      <c r="A27" t="n">
        <v>10</v>
      </c>
      <c r="B27" s="30">
        <f>Season_Coeff!N13</f>
        <v/>
      </c>
      <c r="C27" s="26">
        <f>IF($B27*C12&gt;0,$B27*C12,"")</f>
        <v/>
      </c>
      <c r="D27" s="26">
        <f>IF($B27*D12&gt;0,$B27*D12,"")</f>
        <v/>
      </c>
      <c r="E27" s="26">
        <f>IF($B27*E12&gt;0,$B27*E12,"")</f>
        <v/>
      </c>
      <c r="F27" s="26">
        <f>IF($B27*F12&gt;0,$B27*F12,"")</f>
        <v/>
      </c>
      <c r="G27" s="26">
        <f>IF($B27*G12&gt;0,$B27*G12,"")</f>
        <v/>
      </c>
      <c r="H27" s="26">
        <f>IF($B27*H12&gt;0,$B27*H12,"")</f>
        <v/>
      </c>
      <c r="I27" s="26">
        <f>IF($B27*I12&gt;0,$B27*I12,"")</f>
        <v/>
      </c>
      <c r="J27" s="26">
        <f>IF($B27*J12&gt;0,$B27*J12,"")</f>
        <v/>
      </c>
      <c r="K27" s="26">
        <f>IF($B27*K12&gt;0,$B27*K12,"")</f>
        <v/>
      </c>
      <c r="L27" s="26">
        <f>IF($B27*L12&gt;0,$B27*L12,"")</f>
        <v/>
      </c>
      <c r="M27" s="26">
        <f>IF($B27*M12&gt;0,$B27*M12,"")</f>
        <v/>
      </c>
      <c r="N27" s="20">
        <f>IF($B27*N12&gt;0,$B27*N12,"")</f>
        <v/>
      </c>
      <c r="O27" s="26">
        <f>IF($B27*O12&gt;0,$B27*O12,"")</f>
        <v/>
      </c>
      <c r="P27" s="26">
        <f>IF($B27*P12&gt;0,$B27*P12,"")</f>
        <v/>
      </c>
      <c r="Q27" s="26">
        <f>IF($B27*Q12&gt;0,$B27*Q12,"")</f>
        <v/>
      </c>
      <c r="R27" s="26">
        <f>IF($B27*R12&gt;0,$B27*R12,"")</f>
        <v/>
      </c>
      <c r="S27" s="26">
        <f>IF($B27*S12&gt;0,$B27*S12,"")</f>
        <v/>
      </c>
      <c r="T27" s="26">
        <f>IF($B27*T12&gt;0,$B27*T12,"")</f>
        <v/>
      </c>
      <c r="U27" s="26">
        <f>IF($B27*U12&gt;0,$B27*U12,"")</f>
        <v/>
      </c>
      <c r="V27" s="26">
        <f>IF($B27*V12&gt;0,$B27*V12,"")</f>
        <v/>
      </c>
      <c r="W27" s="26">
        <f>IF($B27*W12&gt;0,$B27*W12,"")</f>
        <v/>
      </c>
      <c r="X27" s="26">
        <f>IF($B27*X12&gt;0,$B27*X12,"")</f>
        <v/>
      </c>
      <c r="Y27" s="26">
        <f>IF($B27*Y12&gt;0,$B27*Y12,"")</f>
        <v/>
      </c>
      <c r="AA27" s="26" t="n"/>
      <c r="AB27" s="26">
        <f>IF($B27*AB12&gt;0,$B27*AB12,"")</f>
        <v/>
      </c>
      <c r="AC27" s="26">
        <f>IF($B27*AC12&gt;0,$B27*AC12,"")</f>
        <v/>
      </c>
      <c r="AD27" s="26">
        <f>IF($B27*AD12&gt;0,$B27*AD12,"")</f>
        <v/>
      </c>
      <c r="AE27" s="26">
        <f>IF($B27*AE12&gt;0,$B27*AE12,"")</f>
        <v/>
      </c>
      <c r="AF27" s="26">
        <f>IF($B27*AF12&gt;0,$B27*AF12,"")</f>
        <v/>
      </c>
      <c r="AG27" s="26">
        <f>IF($B27*AG12&gt;0,$B27*AG12,"")</f>
        <v/>
      </c>
    </row>
    <row r="28">
      <c r="A28" t="n">
        <v>11</v>
      </c>
      <c r="B28" s="30">
        <f>Season_Coeff!N14</f>
        <v/>
      </c>
      <c r="C28" s="26">
        <f>IF($B28*C13&gt;0,$B28*C13,"")</f>
        <v/>
      </c>
      <c r="D28" s="26">
        <f>IF($B28*D13&gt;0,$B28*D13,"")</f>
        <v/>
      </c>
      <c r="E28" s="26">
        <f>IF($B28*E13&gt;0,$B28*E13,"")</f>
        <v/>
      </c>
      <c r="F28" s="26">
        <f>IF($B28*F13&gt;0,$B28*F13,"")</f>
        <v/>
      </c>
      <c r="G28" s="26">
        <f>IF($B28*G13&gt;0,$B28*G13,"")</f>
        <v/>
      </c>
      <c r="H28" s="26">
        <f>IF($B28*H13&gt;0,$B28*H13,"")</f>
        <v/>
      </c>
      <c r="I28" s="26">
        <f>IF($B28*I13&gt;0,$B28*I13,"")</f>
        <v/>
      </c>
      <c r="J28" s="26">
        <f>IF($B28*J13&gt;0,$B28*J13,"")</f>
        <v/>
      </c>
      <c r="K28" s="26">
        <f>IF($B28*K13&gt;0,$B28*K13,"")</f>
        <v/>
      </c>
      <c r="L28" s="26">
        <f>IF($B28*L13&gt;0,$B28*L13,"")</f>
        <v/>
      </c>
      <c r="M28" s="26">
        <f>IF($B28*M13&gt;0,$B28*M13,"")</f>
        <v/>
      </c>
      <c r="N28" s="20">
        <f>IF($B28*N13&gt;0,$B28*N13,"")</f>
        <v/>
      </c>
      <c r="O28" s="26">
        <f>IF($B28*O13&gt;0,$B28*O13,"")</f>
        <v/>
      </c>
      <c r="P28" s="26">
        <f>IF($B28*P13&gt;0,$B28*P13,"")</f>
        <v/>
      </c>
      <c r="Q28" s="26">
        <f>IF($B28*Q13&gt;0,$B28*Q13,"")</f>
        <v/>
      </c>
      <c r="R28" s="26">
        <f>IF($B28*R13&gt;0,$B28*R13,"")</f>
        <v/>
      </c>
      <c r="S28" s="26">
        <f>IF($B28*S13&gt;0,$B28*S13,"")</f>
        <v/>
      </c>
      <c r="T28" s="26">
        <f>IF($B28*T13&gt;0,$B28*T13,"")</f>
        <v/>
      </c>
      <c r="U28" s="26">
        <f>IF($B28*U13&gt;0,$B28*U13,"")</f>
        <v/>
      </c>
      <c r="V28" s="26">
        <f>IF($B28*V13&gt;0,$B28*V13,"")</f>
        <v/>
      </c>
      <c r="W28" s="26">
        <f>IF($B28*W13&gt;0,$B28*W13,"")</f>
        <v/>
      </c>
      <c r="X28" s="26">
        <f>IF($B28*X13&gt;0,$B28*X13,"")</f>
        <v/>
      </c>
      <c r="Y28" s="26">
        <f>IF($B28*Y13&gt;0,$B28*Y13,"")</f>
        <v/>
      </c>
      <c r="AA28" s="26" t="n"/>
      <c r="AB28" s="26">
        <f>IF($B28*AB13&gt;0,$B28*AB13,"")</f>
        <v/>
      </c>
      <c r="AC28" s="26">
        <f>IF($B28*AC13&gt;0,$B28*AC13,"")</f>
        <v/>
      </c>
      <c r="AD28" s="26">
        <f>IF($B28*AD13&gt;0,$B28*AD13,"")</f>
        <v/>
      </c>
      <c r="AE28" s="26">
        <f>IF($B28*AE13&gt;0,$B28*AE13,"")</f>
        <v/>
      </c>
      <c r="AF28" s="26">
        <f>IF($B28*AF13&gt;0,$B28*AF13,"")</f>
        <v/>
      </c>
      <c r="AG28" s="26">
        <f>IF($B28*AG13&gt;0,$B28*AG13,"")</f>
        <v/>
      </c>
    </row>
    <row r="29">
      <c r="A29" t="n">
        <v>12</v>
      </c>
      <c r="B29" s="30">
        <f>Season_Coeff!N15</f>
        <v/>
      </c>
      <c r="C29" s="26">
        <f>IF($B29*C14&gt;0,$B29*C14,"")</f>
        <v/>
      </c>
      <c r="D29" s="26">
        <f>IF($B29*D14&gt;0,$B29*D14,"")</f>
        <v/>
      </c>
      <c r="E29" s="26">
        <f>IF($B29*E14&gt;0,$B29*E14,"")</f>
        <v/>
      </c>
      <c r="F29" s="26">
        <f>IF($B29*F14&gt;0,$B29*F14,"")</f>
        <v/>
      </c>
      <c r="G29" s="26">
        <f>IF($B29*G14&gt;0,$B29*G14,"")</f>
        <v/>
      </c>
      <c r="H29" s="26">
        <f>IF($B29*H14&gt;0,$B29*H14,"")</f>
        <v/>
      </c>
      <c r="I29" s="26">
        <f>IF($B29*I14&gt;0,$B29*I14,"")</f>
        <v/>
      </c>
      <c r="J29" s="26">
        <f>IF($B29*J14&gt;0,$B29*J14,"")</f>
        <v/>
      </c>
      <c r="K29" s="26">
        <f>IF($B29*K14&gt;0,$B29*K14,"")</f>
        <v/>
      </c>
      <c r="L29" s="26">
        <f>IF($B29*L14&gt;0,$B29*L14,"")</f>
        <v/>
      </c>
      <c r="M29" s="26">
        <f>IF($B29*M14&gt;0,$B29*M14,"")</f>
        <v/>
      </c>
      <c r="N29" s="20">
        <f>IF($B29*N14&gt;0,$B29*N14,"")</f>
        <v/>
      </c>
      <c r="O29" s="26">
        <f>IF($B29*O14&gt;0,$B29*O14,"")</f>
        <v/>
      </c>
      <c r="P29" s="26">
        <f>IF($B29*P14&gt;0,$B29*P14,"")</f>
        <v/>
      </c>
      <c r="Q29" s="26">
        <f>IF($B29*Q14&gt;0,$B29*Q14,"")</f>
        <v/>
      </c>
      <c r="R29" s="26">
        <f>IF($B29*R14&gt;0,$B29*R14,"")</f>
        <v/>
      </c>
      <c r="S29" s="26">
        <f>IF($B29*S14&gt;0,$B29*S14,"")</f>
        <v/>
      </c>
      <c r="T29" s="26">
        <f>IF($B29*T14&gt;0,$B29*T14,"")</f>
        <v/>
      </c>
      <c r="U29" s="26">
        <f>IF($B29*U14&gt;0,$B29*U14,"")</f>
        <v/>
      </c>
      <c r="V29" s="26">
        <f>IF($B29*V14&gt;0,$B29*V14,"")</f>
        <v/>
      </c>
      <c r="W29" s="26">
        <f>IF($B29*W14&gt;0,$B29*W14,"")</f>
        <v/>
      </c>
      <c r="X29" s="26">
        <f>IF($B29*X14&gt;0,$B29*X14,"")</f>
        <v/>
      </c>
      <c r="Y29" s="26">
        <f>IF($B29*Y14&gt;0,$B29*Y14,"")</f>
        <v/>
      </c>
      <c r="AA29" s="26" t="n"/>
      <c r="AB29" s="26">
        <f>IF($B29*AB14&gt;0,$B29*AB14,"")</f>
        <v/>
      </c>
      <c r="AC29" s="26">
        <f>IF($B29*AC14&gt;0,$B29*AC14,"")</f>
        <v/>
      </c>
      <c r="AD29" s="26">
        <f>IF($B29*AD14&gt;0,$B29*AD14,"")</f>
        <v/>
      </c>
      <c r="AE29" s="26">
        <f>IF($B29*AE14&gt;0,$B29*AE14,"")</f>
        <v/>
      </c>
      <c r="AF29" s="26">
        <f>IF($B29*AF14&gt;0,$B29*AF14,"")</f>
        <v/>
      </c>
      <c r="AG29" s="26">
        <f>IF($B29*AG14&gt;0,$B29*AG14,"")</f>
        <v/>
      </c>
    </row>
    <row r="30">
      <c r="B30" s="33" t="inlineStr">
        <is>
          <t>Tot</t>
        </is>
      </c>
      <c r="C30" s="33">
        <f>SUM(C18:C29)</f>
        <v/>
      </c>
      <c r="D30" s="33">
        <f>SUM(D18:D29)</f>
        <v/>
      </c>
      <c r="E30" s="33">
        <f>SUM(E18:E29)</f>
        <v/>
      </c>
      <c r="F30" s="33">
        <f>SUM(F18:F29)</f>
        <v/>
      </c>
      <c r="G30" s="33">
        <f>SUM(G18:G29)</f>
        <v/>
      </c>
      <c r="H30" s="33">
        <f>SUM(H18:H29)</f>
        <v/>
      </c>
      <c r="I30" s="33">
        <f>SUM(I18:I29)</f>
        <v/>
      </c>
      <c r="J30" s="33">
        <f>SUM(J18:J29)</f>
        <v/>
      </c>
      <c r="K30" s="33">
        <f>SUM(K18:K29)</f>
        <v/>
      </c>
      <c r="L30" s="33">
        <f>SUM(L18:L29)</f>
        <v/>
      </c>
      <c r="M30" s="33">
        <f>SUM(M18:M29)</f>
        <v/>
      </c>
      <c r="N30" s="64">
        <f>SUM(N18:N29)</f>
        <v/>
      </c>
      <c r="O30" s="33">
        <f>SUM(O18:O29)</f>
        <v/>
      </c>
      <c r="P30" s="33">
        <f>SUM(P18:P29)</f>
        <v/>
      </c>
      <c r="Q30" s="33">
        <f>SUM(Q18:Q29)</f>
        <v/>
      </c>
      <c r="R30" s="33">
        <f>SUM(R18:R29)</f>
        <v/>
      </c>
      <c r="S30" s="33">
        <f>SUM(S18:S29)</f>
        <v/>
      </c>
      <c r="T30" s="33">
        <f>SUM(T18:T29)</f>
        <v/>
      </c>
      <c r="U30" s="33">
        <f>SUM(U18:U29)</f>
        <v/>
      </c>
      <c r="V30" s="33">
        <f>SUM(V18:V29)</f>
        <v/>
      </c>
      <c r="W30" s="33">
        <f>SUM(W18:W29)</f>
        <v/>
      </c>
      <c r="X30" s="33">
        <f>SUM(X18:X29)</f>
        <v/>
      </c>
      <c r="Y30" s="33">
        <f>SUM(Y18:Y29)</f>
        <v/>
      </c>
      <c r="AA30" s="26" t="n"/>
      <c r="AB30" s="33">
        <f>SUM(AB18:AB29)</f>
        <v/>
      </c>
      <c r="AC30" s="33">
        <f>SUM(AC18:AC29)</f>
        <v/>
      </c>
      <c r="AD30" s="33">
        <f>SUM(AD18:AD29)</f>
        <v/>
      </c>
      <c r="AE30" s="33">
        <f>SUM(AE18:AE29)</f>
        <v/>
      </c>
      <c r="AF30" s="33">
        <f>SUM(AF18:AF29)</f>
        <v/>
      </c>
      <c r="AG30" s="33">
        <f>SUM(AG18:AG29)</f>
        <v/>
      </c>
    </row>
    <row r="31">
      <c r="B31" s="26" t="n"/>
    </row>
  </sheetData>
  <mergeCells count="1">
    <mergeCell ref="AA1:AG1"/>
  </mergeCells>
  <pageMargins left="0.75" right="0.75" top="1" bottom="1" header="0.5" footer="0.5"/>
  <pageSetup orientation="portrait"/>
</worksheet>
</file>

<file path=xl/worksheets/sheet4.xml><?xml version="1.0" encoding="utf-8"?>
<worksheet xmlns="http://schemas.openxmlformats.org/spreadsheetml/2006/main">
  <sheetPr>
    <outlinePr summaryBelow="1" summaryRight="1"/>
    <pageSetUpPr/>
  </sheetPr>
  <dimension ref="A1:Y30"/>
  <sheetViews>
    <sheetView workbookViewId="0">
      <selection activeCell="A1" sqref="A1"/>
    </sheetView>
  </sheetViews>
  <sheetFormatPr baseColWidth="8" defaultRowHeight="12.75"/>
  <cols>
    <col width="3.7109375" customWidth="1" style="158" min="1" max="1"/>
    <col width="10" customWidth="1" style="158" min="16" max="17"/>
    <col width="9.85546875" customWidth="1" style="158" min="18" max="18"/>
    <col width="10" customWidth="1" style="158" min="19" max="19"/>
    <col width="9.85546875" customWidth="1" style="158" min="20" max="21"/>
  </cols>
  <sheetData>
    <row r="1" ht="13.5" customHeight="1" s="158" thickTop="1">
      <c r="B1" s="166" t="inlineStr">
        <is>
          <t>Table B20-11.  BLAST 3.0 Monthly and Total Sensible Cooling Loads (million Btu)</t>
        </is>
      </c>
      <c r="C1" s="167" t="n"/>
      <c r="D1" s="167" t="n"/>
      <c r="E1" s="167" t="n"/>
      <c r="F1" s="167" t="n"/>
      <c r="G1" s="167" t="n"/>
      <c r="H1" s="167" t="n"/>
      <c r="I1" s="167" t="n"/>
      <c r="J1" s="167" t="n"/>
      <c r="K1" s="167" t="n"/>
      <c r="L1" s="167" t="n"/>
      <c r="M1" s="168" t="n"/>
      <c r="O1" s="183" t="inlineStr">
        <is>
          <t>Table B20-12. BLAST 3.0 Monthly and Total Sensible Cooling Loads (million Btu)</t>
        </is>
      </c>
      <c r="P1" s="181" t="n"/>
      <c r="Q1" s="181" t="n"/>
      <c r="R1" s="181" t="n"/>
      <c r="S1" s="181" t="n"/>
      <c r="T1" s="181" t="n"/>
      <c r="U1" s="182" t="n"/>
    </row>
    <row r="2" ht="13.5" customHeight="1" s="158" thickBot="1">
      <c r="B2" s="2" t="n"/>
      <c r="C2" s="3" t="inlineStr">
        <is>
          <t>L100AL</t>
        </is>
      </c>
      <c r="D2" s="3" t="inlineStr">
        <is>
          <t>L110AL</t>
        </is>
      </c>
      <c r="E2" s="3" t="inlineStr">
        <is>
          <t>L120AL</t>
        </is>
      </c>
      <c r="F2" s="3" t="inlineStr">
        <is>
          <t>L130AL</t>
        </is>
      </c>
      <c r="G2" s="3" t="inlineStr">
        <is>
          <t>L140AL</t>
        </is>
      </c>
      <c r="H2" s="3" t="inlineStr">
        <is>
          <t>L150AL</t>
        </is>
      </c>
      <c r="I2" s="3" t="inlineStr">
        <is>
          <t>L155AL</t>
        </is>
      </c>
      <c r="J2" s="3" t="inlineStr">
        <is>
          <t>L160AL</t>
        </is>
      </c>
      <c r="K2" s="3" t="inlineStr">
        <is>
          <t>L170AL</t>
        </is>
      </c>
      <c r="L2" s="3" t="inlineStr">
        <is>
          <t>L200AL</t>
        </is>
      </c>
      <c r="M2" s="4" t="inlineStr">
        <is>
          <t>L202AL</t>
        </is>
      </c>
      <c r="O2" s="71" t="n"/>
      <c r="P2" s="72" t="inlineStr">
        <is>
          <t>L165AL</t>
        </is>
      </c>
      <c r="Q2" s="72" t="inlineStr">
        <is>
          <t>P100AC</t>
        </is>
      </c>
      <c r="R2" s="72" t="inlineStr">
        <is>
          <t>P105AC</t>
        </is>
      </c>
      <c r="S2" s="72" t="inlineStr">
        <is>
          <t>P110AC</t>
        </is>
      </c>
      <c r="T2" s="72" t="inlineStr">
        <is>
          <t>P140AC</t>
        </is>
      </c>
      <c r="U2" s="73" t="inlineStr">
        <is>
          <t>P150AC</t>
        </is>
      </c>
    </row>
    <row r="3">
      <c r="A3" t="n">
        <v>1</v>
      </c>
      <c r="B3" s="1" t="inlineStr">
        <is>
          <t>Jan</t>
        </is>
      </c>
      <c r="C3" s="24" t="n">
        <v>0.07000000000000001</v>
      </c>
      <c r="D3" s="24" t="n">
        <v>0.03</v>
      </c>
      <c r="E3" s="24" t="n">
        <v>0.08</v>
      </c>
      <c r="F3" s="24" t="n">
        <v>0</v>
      </c>
      <c r="G3" s="24" t="n">
        <v>0</v>
      </c>
      <c r="H3" s="24" t="n">
        <v>1.91</v>
      </c>
      <c r="I3" s="24" t="n">
        <v>1.55</v>
      </c>
      <c r="J3" s="24" t="n">
        <v>0.01</v>
      </c>
      <c r="K3" s="24" t="n">
        <v>0.03</v>
      </c>
      <c r="L3" s="24" t="n">
        <v>0.01</v>
      </c>
      <c r="M3" s="7" t="n">
        <v>0</v>
      </c>
      <c r="O3" s="74" t="inlineStr">
        <is>
          <t>Jan</t>
        </is>
      </c>
      <c r="P3" s="75" t="n">
        <v>0</v>
      </c>
      <c r="Q3" s="75" t="n">
        <v>0.62</v>
      </c>
      <c r="R3" s="75" t="n">
        <v>0.62</v>
      </c>
      <c r="S3" s="75" t="n">
        <v>2.17</v>
      </c>
      <c r="T3" s="75" t="n">
        <v>0</v>
      </c>
      <c r="U3" s="76" t="n">
        <v>0</v>
      </c>
    </row>
    <row r="4">
      <c r="A4" t="n">
        <v>2</v>
      </c>
      <c r="B4" s="1" t="inlineStr">
        <is>
          <t>Feb</t>
        </is>
      </c>
      <c r="C4" s="24" t="n">
        <v>0.38</v>
      </c>
      <c r="D4" s="24" t="n">
        <v>0.24</v>
      </c>
      <c r="E4" s="24" t="n">
        <v>0.41</v>
      </c>
      <c r="F4" s="24" t="n">
        <v>0.06</v>
      </c>
      <c r="G4" s="24" t="n">
        <v>0</v>
      </c>
      <c r="H4" s="24" t="n">
        <v>2.39</v>
      </c>
      <c r="I4" s="24" t="n">
        <v>1.58</v>
      </c>
      <c r="J4" s="24" t="n">
        <v>0.22</v>
      </c>
      <c r="K4" s="24" t="n">
        <v>0.22</v>
      </c>
      <c r="L4" s="24" t="n">
        <v>0.21</v>
      </c>
      <c r="M4" s="7" t="n">
        <v>0.1</v>
      </c>
      <c r="O4" s="74" t="inlineStr">
        <is>
          <t>Feb</t>
        </is>
      </c>
      <c r="P4" s="75" t="n">
        <v>0.07000000000000001</v>
      </c>
      <c r="Q4" s="75" t="n">
        <v>0.17</v>
      </c>
      <c r="R4" s="75" t="n">
        <v>0.14</v>
      </c>
      <c r="S4" s="75" t="n">
        <v>1.42</v>
      </c>
      <c r="T4" s="75" t="n">
        <v>0</v>
      </c>
      <c r="U4" s="76" t="n">
        <v>0</v>
      </c>
    </row>
    <row r="5">
      <c r="A5" t="n">
        <v>3</v>
      </c>
      <c r="B5" s="1" t="inlineStr">
        <is>
          <t>Mar</t>
        </is>
      </c>
      <c r="C5" s="24" t="n">
        <v>1.44</v>
      </c>
      <c r="D5" s="24" t="n">
        <v>1.15</v>
      </c>
      <c r="E5" s="24" t="n">
        <v>1.46</v>
      </c>
      <c r="F5" s="24" t="n">
        <v>0.55</v>
      </c>
      <c r="G5" s="24" t="n">
        <v>0.07000000000000001</v>
      </c>
      <c r="H5" s="24" t="n">
        <v>3.35</v>
      </c>
      <c r="I5" s="24" t="n">
        <v>1.69</v>
      </c>
      <c r="J5" s="24" t="n">
        <v>1.58</v>
      </c>
      <c r="K5" s="24" t="n">
        <v>1.01</v>
      </c>
      <c r="L5" s="24" t="n">
        <v>1.04</v>
      </c>
      <c r="M5" s="7" t="n">
        <v>0.6899999999999999</v>
      </c>
      <c r="O5" s="74" t="inlineStr">
        <is>
          <t>Mar</t>
        </is>
      </c>
      <c r="P5" s="75" t="n">
        <v>1.01</v>
      </c>
      <c r="Q5" s="75" t="n">
        <v>0.03</v>
      </c>
      <c r="R5" s="75" t="n">
        <v>0</v>
      </c>
      <c r="S5" s="75" t="n">
        <v>1.09</v>
      </c>
      <c r="T5" s="75" t="n">
        <v>0</v>
      </c>
      <c r="U5" s="76" t="n">
        <v>0</v>
      </c>
    </row>
    <row r="6">
      <c r="A6" t="n">
        <v>4</v>
      </c>
      <c r="B6" s="1" t="inlineStr">
        <is>
          <t>Apr</t>
        </is>
      </c>
      <c r="C6" s="24" t="n">
        <v>2.18</v>
      </c>
      <c r="D6" s="24" t="n">
        <v>1.92</v>
      </c>
      <c r="E6" s="24" t="n">
        <v>2.16</v>
      </c>
      <c r="F6" s="24" t="n">
        <v>1.16</v>
      </c>
      <c r="G6" s="24" t="n">
        <v>0.36</v>
      </c>
      <c r="H6" s="24" t="n">
        <v>2.78</v>
      </c>
      <c r="I6" s="24" t="n">
        <v>1.16</v>
      </c>
      <c r="J6" s="24" t="n">
        <v>3.16</v>
      </c>
      <c r="K6" s="24" t="n">
        <v>1.6</v>
      </c>
      <c r="L6" s="24" t="n">
        <v>1.83</v>
      </c>
      <c r="M6" s="7" t="n">
        <v>1.42</v>
      </c>
      <c r="O6" s="74" t="inlineStr">
        <is>
          <t>Apr</t>
        </is>
      </c>
      <c r="P6" s="75" t="n">
        <v>2.38</v>
      </c>
      <c r="Q6" s="75" t="n">
        <v>0.25</v>
      </c>
      <c r="R6" s="75" t="n">
        <v>0</v>
      </c>
      <c r="S6" s="75" t="n">
        <v>0.91</v>
      </c>
      <c r="T6" s="75" t="n">
        <v>0</v>
      </c>
      <c r="U6" s="76" t="n">
        <v>0.16</v>
      </c>
    </row>
    <row r="7">
      <c r="A7" t="n">
        <v>5</v>
      </c>
      <c r="B7" s="1" t="inlineStr">
        <is>
          <t>May</t>
        </is>
      </c>
      <c r="C7" s="24" t="n">
        <v>5.85</v>
      </c>
      <c r="D7" s="24" t="n">
        <v>6.02</v>
      </c>
      <c r="E7" s="24" t="n">
        <v>5.55</v>
      </c>
      <c r="F7" s="24" t="n">
        <v>3.9</v>
      </c>
      <c r="G7" s="24" t="n">
        <v>2.14</v>
      </c>
      <c r="H7" s="24" t="n">
        <v>5.51</v>
      </c>
      <c r="I7" s="24" t="n">
        <v>4.3</v>
      </c>
      <c r="J7" s="24" t="n">
        <v>7.59</v>
      </c>
      <c r="K7" s="24" t="n">
        <v>4.76</v>
      </c>
      <c r="L7" s="24" t="n">
        <v>6.56</v>
      </c>
      <c r="M7" s="7" t="n">
        <v>5.81</v>
      </c>
      <c r="O7" s="74" t="inlineStr">
        <is>
          <t>May</t>
        </is>
      </c>
      <c r="P7" s="75" t="n">
        <v>6.53</v>
      </c>
      <c r="Q7" s="75" t="n">
        <v>0.48</v>
      </c>
      <c r="R7" s="75" t="n">
        <v>0.03</v>
      </c>
      <c r="S7" s="75" t="n">
        <v>1.27</v>
      </c>
      <c r="T7" s="75" t="n">
        <v>0</v>
      </c>
      <c r="U7" s="76" t="n">
        <v>0.48</v>
      </c>
    </row>
    <row r="8">
      <c r="A8" t="n">
        <v>6</v>
      </c>
      <c r="B8" s="1" t="inlineStr">
        <is>
          <t>Jun</t>
        </is>
      </c>
      <c r="C8" s="24" t="n">
        <v>9.43</v>
      </c>
      <c r="D8" s="24" t="n">
        <v>10.26</v>
      </c>
      <c r="E8" s="24" t="n">
        <v>8.720000000000001</v>
      </c>
      <c r="F8" s="24" t="n">
        <v>6.72</v>
      </c>
      <c r="G8" s="24" t="n">
        <v>4.61</v>
      </c>
      <c r="H8" s="24" t="n">
        <v>8.710000000000001</v>
      </c>
      <c r="I8" s="24" t="n">
        <v>7.85</v>
      </c>
      <c r="J8" s="24" t="n">
        <v>11.41</v>
      </c>
      <c r="K8" s="24" t="n">
        <v>8.1</v>
      </c>
      <c r="L8" s="24" t="n">
        <v>11.96</v>
      </c>
      <c r="M8" s="7" t="n">
        <v>10.99</v>
      </c>
      <c r="O8" s="74" t="inlineStr">
        <is>
          <t>Jun</t>
        </is>
      </c>
      <c r="P8" s="75" t="n">
        <v>10.26</v>
      </c>
      <c r="Q8" s="75" t="n">
        <v>2.05</v>
      </c>
      <c r="R8" s="75" t="n">
        <v>1.34</v>
      </c>
      <c r="S8" s="75" t="n">
        <v>2.55</v>
      </c>
      <c r="T8" s="75" t="n">
        <v>0.21</v>
      </c>
      <c r="U8" s="76" t="n">
        <v>2.42</v>
      </c>
    </row>
    <row r="9">
      <c r="A9" t="n">
        <v>7</v>
      </c>
      <c r="B9" s="1" t="inlineStr">
        <is>
          <t>Jul</t>
        </is>
      </c>
      <c r="C9" s="24" t="n">
        <v>12.16</v>
      </c>
      <c r="D9" s="24" t="n">
        <v>13.62</v>
      </c>
      <c r="E9" s="24" t="n">
        <v>11.15</v>
      </c>
      <c r="F9" s="24" t="n">
        <v>8.84</v>
      </c>
      <c r="G9" s="24" t="n">
        <v>6.57</v>
      </c>
      <c r="H9" s="24" t="n">
        <v>11.51</v>
      </c>
      <c r="I9" s="24" t="n">
        <v>10.69</v>
      </c>
      <c r="J9" s="24" t="n">
        <v>13.98</v>
      </c>
      <c r="K9" s="24" t="n">
        <v>10.67</v>
      </c>
      <c r="L9" s="24" t="n">
        <v>16.4</v>
      </c>
      <c r="M9" s="7" t="n">
        <v>15.44</v>
      </c>
      <c r="O9" s="74" t="inlineStr">
        <is>
          <t>Jul</t>
        </is>
      </c>
      <c r="P9" s="75" t="n">
        <v>12.92</v>
      </c>
      <c r="Q9" s="75" t="n">
        <v>3.1</v>
      </c>
      <c r="R9" s="75" t="n">
        <v>2.33</v>
      </c>
      <c r="S9" s="75" t="n">
        <v>3.47</v>
      </c>
      <c r="T9" s="75" t="n">
        <v>0.65</v>
      </c>
      <c r="U9" s="76" t="n">
        <v>3.46</v>
      </c>
    </row>
    <row r="10">
      <c r="A10" t="n">
        <v>8</v>
      </c>
      <c r="B10" s="1" t="inlineStr">
        <is>
          <t>Aug</t>
        </is>
      </c>
      <c r="C10" s="24" t="n">
        <v>10.87</v>
      </c>
      <c r="D10" s="24" t="n">
        <v>12.01</v>
      </c>
      <c r="E10" s="24" t="n">
        <v>10.02</v>
      </c>
      <c r="F10" s="24" t="n">
        <v>7.85</v>
      </c>
      <c r="G10" s="24" t="n">
        <v>5.65</v>
      </c>
      <c r="H10" s="24" t="n">
        <v>11.18</v>
      </c>
      <c r="I10" s="24" t="n">
        <v>9.19</v>
      </c>
      <c r="J10" s="24" t="n">
        <v>12.31</v>
      </c>
      <c r="K10" s="24" t="n">
        <v>9.41</v>
      </c>
      <c r="L10" s="24" t="n">
        <v>14.21</v>
      </c>
      <c r="M10" s="7" t="n">
        <v>13.26</v>
      </c>
      <c r="O10" s="74" t="inlineStr">
        <is>
          <t>Aug</t>
        </is>
      </c>
      <c r="P10" s="75" t="n">
        <v>11.28</v>
      </c>
      <c r="Q10" s="75" t="n">
        <v>3.7</v>
      </c>
      <c r="R10" s="75" t="n">
        <v>2.02</v>
      </c>
      <c r="S10" s="75" t="n">
        <v>4.15</v>
      </c>
      <c r="T10" s="75" t="n">
        <v>0.53</v>
      </c>
      <c r="U10" s="76" t="n">
        <v>3.25</v>
      </c>
    </row>
    <row r="11">
      <c r="A11" t="n">
        <v>9</v>
      </c>
      <c r="B11" s="1" t="inlineStr">
        <is>
          <t>Sep</t>
        </is>
      </c>
      <c r="C11" s="24" t="n">
        <v>7.76</v>
      </c>
      <c r="D11" s="24" t="n">
        <v>8.24</v>
      </c>
      <c r="E11" s="24" t="n">
        <v>7.33</v>
      </c>
      <c r="F11" s="24" t="n">
        <v>5.35</v>
      </c>
      <c r="G11" s="24" t="n">
        <v>3.32</v>
      </c>
      <c r="H11" s="24" t="n">
        <v>9.33</v>
      </c>
      <c r="I11" s="24" t="n">
        <v>7.08</v>
      </c>
      <c r="J11" s="24" t="n">
        <v>8.4</v>
      </c>
      <c r="K11" s="24" t="n">
        <v>6.51</v>
      </c>
      <c r="L11" s="24" t="n">
        <v>9.210000000000001</v>
      </c>
      <c r="M11" s="7" t="n">
        <v>8.44</v>
      </c>
      <c r="O11" s="74" t="inlineStr">
        <is>
          <t>Sep</t>
        </is>
      </c>
      <c r="P11" s="75" t="n">
        <v>7.4</v>
      </c>
      <c r="Q11" s="75" t="n">
        <v>3.59</v>
      </c>
      <c r="R11" s="75" t="n">
        <v>2</v>
      </c>
      <c r="S11" s="75" t="n">
        <v>4.4</v>
      </c>
      <c r="T11" s="75" t="n">
        <v>0.29</v>
      </c>
      <c r="U11" s="76" t="n">
        <v>2.01</v>
      </c>
    </row>
    <row r="12">
      <c r="A12" t="n">
        <v>10</v>
      </c>
      <c r="B12" s="1" t="inlineStr">
        <is>
          <t>Oct</t>
        </is>
      </c>
      <c r="C12" s="24" t="n">
        <v>3.92</v>
      </c>
      <c r="D12" s="24" t="n">
        <v>3.79</v>
      </c>
      <c r="E12" s="24" t="n">
        <v>3.84</v>
      </c>
      <c r="F12" s="24" t="n">
        <v>2.36</v>
      </c>
      <c r="G12" s="24" t="n">
        <v>0.8</v>
      </c>
      <c r="H12" s="24" t="n">
        <v>6.76</v>
      </c>
      <c r="I12" s="24" t="n">
        <v>5.43</v>
      </c>
      <c r="J12" s="24" t="n">
        <v>3.59</v>
      </c>
      <c r="K12" s="24" t="n">
        <v>3.13</v>
      </c>
      <c r="L12" s="24" t="n">
        <v>3.89</v>
      </c>
      <c r="M12" s="7" t="n">
        <v>3.24</v>
      </c>
      <c r="O12" s="74" t="inlineStr">
        <is>
          <t>Oct</t>
        </is>
      </c>
      <c r="P12" s="75" t="n">
        <v>2.75</v>
      </c>
      <c r="Q12" s="75" t="n">
        <v>3.29</v>
      </c>
      <c r="R12" s="75" t="n">
        <v>2.68</v>
      </c>
      <c r="S12" s="75" t="n">
        <v>4.64</v>
      </c>
      <c r="T12" s="75" t="n">
        <v>0</v>
      </c>
      <c r="U12" s="76" t="n">
        <v>0.65</v>
      </c>
    </row>
    <row r="13">
      <c r="A13" t="n">
        <v>11</v>
      </c>
      <c r="B13" s="1" t="inlineStr">
        <is>
          <t>Nov</t>
        </is>
      </c>
      <c r="C13" s="24" t="n">
        <v>0.6</v>
      </c>
      <c r="D13" s="24" t="n">
        <v>0.43</v>
      </c>
      <c r="E13" s="24" t="n">
        <v>0.63</v>
      </c>
      <c r="F13" s="24" t="n">
        <v>0.17</v>
      </c>
      <c r="G13" s="24" t="n">
        <v>0</v>
      </c>
      <c r="H13" s="24" t="n">
        <v>3.08</v>
      </c>
      <c r="I13" s="24" t="n">
        <v>2.55</v>
      </c>
      <c r="J13" s="24" t="n">
        <v>0.37</v>
      </c>
      <c r="K13" s="24" t="n">
        <v>0.39</v>
      </c>
      <c r="L13" s="24" t="n">
        <v>0.39</v>
      </c>
      <c r="M13" s="7" t="n">
        <v>0.22</v>
      </c>
      <c r="O13" s="74" t="inlineStr">
        <is>
          <t>Nov</t>
        </is>
      </c>
      <c r="P13" s="75" t="n">
        <v>0.17</v>
      </c>
      <c r="Q13" s="75" t="n">
        <v>0.58</v>
      </c>
      <c r="R13" s="75" t="n">
        <v>0.54</v>
      </c>
      <c r="S13" s="75" t="n">
        <v>2.33</v>
      </c>
      <c r="T13" s="75" t="n">
        <v>0</v>
      </c>
      <c r="U13" s="76" t="n">
        <v>0</v>
      </c>
    </row>
    <row r="14" ht="13.5" customHeight="1" s="158" thickBot="1">
      <c r="A14" t="n">
        <v>12</v>
      </c>
      <c r="B14" s="1" t="inlineStr">
        <is>
          <t>Dec</t>
        </is>
      </c>
      <c r="C14" s="24" t="n">
        <v>0</v>
      </c>
      <c r="D14" s="24" t="n">
        <v>0</v>
      </c>
      <c r="E14" s="24" t="n">
        <v>0.01</v>
      </c>
      <c r="F14" s="24" t="n">
        <v>0</v>
      </c>
      <c r="G14" s="24" t="n">
        <v>0</v>
      </c>
      <c r="H14" s="24" t="n">
        <v>1.22</v>
      </c>
      <c r="I14" s="24" t="n">
        <v>1.02</v>
      </c>
      <c r="J14" s="24" t="n">
        <v>0</v>
      </c>
      <c r="K14" s="24" t="n">
        <v>0</v>
      </c>
      <c r="L14" s="24" t="n">
        <v>0</v>
      </c>
      <c r="M14" s="7" t="n">
        <v>0</v>
      </c>
      <c r="O14" s="74" t="inlineStr">
        <is>
          <t>Dec</t>
        </is>
      </c>
      <c r="P14" s="75" t="n">
        <v>0</v>
      </c>
      <c r="Q14" s="75" t="n">
        <v>0.25</v>
      </c>
      <c r="R14" s="75" t="n">
        <v>0.24</v>
      </c>
      <c r="S14" s="75" t="n">
        <v>1.79</v>
      </c>
      <c r="T14" s="75" t="n">
        <v>0</v>
      </c>
      <c r="U14" s="76" t="n">
        <v>0</v>
      </c>
    </row>
    <row r="15" ht="13.5" customHeight="1" s="158" thickBot="1">
      <c r="B15" s="11" t="inlineStr">
        <is>
          <t>Tot</t>
        </is>
      </c>
      <c r="C15" s="12" t="n">
        <v>54.66</v>
      </c>
      <c r="D15" s="12" t="n">
        <v>57.7</v>
      </c>
      <c r="E15" s="12" t="n">
        <v>51.34</v>
      </c>
      <c r="F15" s="12" t="n">
        <v>36.95</v>
      </c>
      <c r="G15" s="12" t="n">
        <v>23.52</v>
      </c>
      <c r="H15" s="12" t="n">
        <v>67.72</v>
      </c>
      <c r="I15" s="12" t="n">
        <v>54.08</v>
      </c>
      <c r="J15" s="12" t="n">
        <v>62.61</v>
      </c>
      <c r="K15" s="12" t="n">
        <v>45.83</v>
      </c>
      <c r="L15" s="12" t="n">
        <v>65.7</v>
      </c>
      <c r="M15" s="13" t="n">
        <v>59.61</v>
      </c>
      <c r="O15" s="77" t="inlineStr">
        <is>
          <t>Tot</t>
        </is>
      </c>
      <c r="P15" s="78" t="n">
        <v>54.77</v>
      </c>
      <c r="Q15" s="78" t="n">
        <v>18.11</v>
      </c>
      <c r="R15" s="78" t="n">
        <v>11.95</v>
      </c>
      <c r="S15" s="78" t="n">
        <v>30.18</v>
      </c>
      <c r="T15" s="78" t="n">
        <v>1.67</v>
      </c>
      <c r="U15" s="79" t="n">
        <v>12.42</v>
      </c>
    </row>
    <row r="16" ht="13.5" customHeight="1" s="158" thickTop="1">
      <c r="A16" t="inlineStr">
        <is>
          <t>Seasonal Values:</t>
        </is>
      </c>
      <c r="B16" s="167" t="n"/>
      <c r="C16" s="24" t="n"/>
      <c r="D16" s="24" t="n"/>
      <c r="E16" s="24" t="n"/>
      <c r="F16" s="24" t="n"/>
      <c r="G16" s="24" t="n"/>
      <c r="H16" s="24" t="n"/>
      <c r="I16" s="24" t="n"/>
      <c r="J16" s="24" t="n"/>
      <c r="K16" s="24" t="n"/>
      <c r="L16" s="24" t="n"/>
      <c r="M16" s="24" t="n"/>
      <c r="O16" s="80" t="inlineStr">
        <is>
          <t>Tier 2 Results</t>
        </is>
      </c>
    </row>
    <row r="17">
      <c r="B17" s="31" t="inlineStr">
        <is>
          <t>Clg_Coeff</t>
        </is>
      </c>
      <c r="C17" s="36">
        <f>C2</f>
        <v/>
      </c>
      <c r="D17" s="36">
        <f>D2</f>
        <v/>
      </c>
      <c r="E17" s="36">
        <f>E2</f>
        <v/>
      </c>
      <c r="F17" s="36">
        <f>F2</f>
        <v/>
      </c>
      <c r="G17" s="36">
        <f>G2</f>
        <v/>
      </c>
      <c r="H17" s="36">
        <f>H2</f>
        <v/>
      </c>
      <c r="I17" s="36">
        <f>I2</f>
        <v/>
      </c>
      <c r="J17" s="36">
        <f>J2</f>
        <v/>
      </c>
      <c r="K17" s="36">
        <f>K2</f>
        <v/>
      </c>
      <c r="L17" s="36">
        <f>L2</f>
        <v/>
      </c>
      <c r="M17" s="36">
        <f>M2</f>
        <v/>
      </c>
      <c r="P17" s="36">
        <f>P2</f>
        <v/>
      </c>
      <c r="Q17" s="36">
        <f>Q2</f>
        <v/>
      </c>
      <c r="R17" s="36">
        <f>R2</f>
        <v/>
      </c>
      <c r="S17" s="36">
        <f>S2</f>
        <v/>
      </c>
      <c r="T17" s="36">
        <f>T2</f>
        <v/>
      </c>
      <c r="U17" s="36">
        <f>U2</f>
        <v/>
      </c>
    </row>
    <row r="18">
      <c r="A18" t="n">
        <v>1</v>
      </c>
      <c r="B18" s="30">
        <f>Season_Coeff!N19</f>
        <v/>
      </c>
      <c r="C18" s="26">
        <f>IF($B18*C3&gt;0,$B18*C3,"")</f>
        <v/>
      </c>
      <c r="D18" s="26">
        <f>IF($B18*D3&gt;0,$B18*D3,"")</f>
        <v/>
      </c>
      <c r="E18" s="26">
        <f>IF($B18*E3&gt;0,$B18*E3,"")</f>
        <v/>
      </c>
      <c r="F18" s="26">
        <f>IF($B18*F3&gt;0,$B18*F3,"")</f>
        <v/>
      </c>
      <c r="G18" s="26">
        <f>IF($B18*G3&gt;0,$B18*G3,"")</f>
        <v/>
      </c>
      <c r="H18" s="26">
        <f>IF($B18*H3&gt;0,$B18*H3,"")</f>
        <v/>
      </c>
      <c r="I18" s="26">
        <f>IF($B18*I3&gt;0,$B18*I3,"")</f>
        <v/>
      </c>
      <c r="J18" s="26">
        <f>IF($B18*J3&gt;0,$B18*J3,"")</f>
        <v/>
      </c>
      <c r="K18" s="26">
        <f>IF($B18*K3&gt;0,$B18*K3,"")</f>
        <v/>
      </c>
      <c r="L18" s="26">
        <f>IF($B18*L3&gt;0,$B18*L3,"")</f>
        <v/>
      </c>
      <c r="M18" s="26">
        <f>IF($B18*M3&gt;0,$B18*M3,"")</f>
        <v/>
      </c>
      <c r="P18" s="26">
        <f>IF($B18*P3&gt;0,$B18*P3,"")</f>
        <v/>
      </c>
      <c r="Q18" s="26">
        <f>IF($B18*Q3&gt;0,$B18*Q3,"")</f>
        <v/>
      </c>
      <c r="R18" s="26">
        <f>IF($B18*R3&gt;0,$B18*R3,"")</f>
        <v/>
      </c>
      <c r="S18" s="26">
        <f>IF($B18*S3&gt;0,$B18*S3,"")</f>
        <v/>
      </c>
      <c r="T18" s="26">
        <f>IF($B18*T3&gt;0,$B18*T3,"")</f>
        <v/>
      </c>
      <c r="U18" s="26">
        <f>IF($B18*U3&gt;0,$B18*U3,"")</f>
        <v/>
      </c>
    </row>
    <row r="19">
      <c r="A19" t="n">
        <v>2</v>
      </c>
      <c r="B19" s="30">
        <f>Season_Coeff!N20</f>
        <v/>
      </c>
      <c r="C19" s="26">
        <f>IF($B19*C4&gt;0,$B19*C4,"")</f>
        <v/>
      </c>
      <c r="D19" s="26">
        <f>IF($B19*D4&gt;0,$B19*D4,"")</f>
        <v/>
      </c>
      <c r="E19" s="26">
        <f>IF($B19*E4&gt;0,$B19*E4,"")</f>
        <v/>
      </c>
      <c r="F19" s="26">
        <f>IF($B19*F4&gt;0,$B19*F4,"")</f>
        <v/>
      </c>
      <c r="G19" s="26">
        <f>IF($B19*G4&gt;0,$B19*G4,"")</f>
        <v/>
      </c>
      <c r="H19" s="26">
        <f>IF($B19*H4&gt;0,$B19*H4,"")</f>
        <v/>
      </c>
      <c r="I19" s="26">
        <f>IF($B19*I4&gt;0,$B19*I4,"")</f>
        <v/>
      </c>
      <c r="J19" s="26">
        <f>IF($B19*J4&gt;0,$B19*J4,"")</f>
        <v/>
      </c>
      <c r="K19" s="26">
        <f>IF($B19*K4&gt;0,$B19*K4,"")</f>
        <v/>
      </c>
      <c r="L19" s="26">
        <f>IF($B19*L4&gt;0,$B19*L4,"")</f>
        <v/>
      </c>
      <c r="M19" s="26">
        <f>IF($B19*M4&gt;0,$B19*M4,"")</f>
        <v/>
      </c>
      <c r="P19" s="26">
        <f>IF($B19*P4&gt;0,$B19*P4,"")</f>
        <v/>
      </c>
      <c r="Q19" s="26">
        <f>IF($B19*Q4&gt;0,$B19*Q4,"")</f>
        <v/>
      </c>
      <c r="R19" s="26">
        <f>IF($B19*R4&gt;0,$B19*R4,"")</f>
        <v/>
      </c>
      <c r="S19" s="26">
        <f>IF($B19*S4&gt;0,$B19*S4,"")</f>
        <v/>
      </c>
      <c r="T19" s="26">
        <f>IF($B19*T4&gt;0,$B19*T4,"")</f>
        <v/>
      </c>
      <c r="U19" s="26">
        <f>IF($B19*U4&gt;0,$B19*U4,"")</f>
        <v/>
      </c>
    </row>
    <row r="20">
      <c r="A20" t="n">
        <v>3</v>
      </c>
      <c r="B20" s="30">
        <f>Season_Coeff!N21</f>
        <v/>
      </c>
      <c r="C20" s="26">
        <f>IF($B20*C5&gt;0,$B20*C5,"")</f>
        <v/>
      </c>
      <c r="D20" s="26">
        <f>IF($B20*D5&gt;0,$B20*D5,"")</f>
        <v/>
      </c>
      <c r="E20" s="26">
        <f>IF($B20*E5&gt;0,$B20*E5,"")</f>
        <v/>
      </c>
      <c r="F20" s="26">
        <f>IF($B20*F5&gt;0,$B20*F5,"")</f>
        <v/>
      </c>
      <c r="G20" s="26">
        <f>IF($B20*G5&gt;0,$B20*G5,"")</f>
        <v/>
      </c>
      <c r="H20" s="26">
        <f>IF($B20*H5&gt;0,$B20*H5,"")</f>
        <v/>
      </c>
      <c r="I20" s="26">
        <f>IF($B20*I5&gt;0,$B20*I5,"")</f>
        <v/>
      </c>
      <c r="J20" s="26">
        <f>IF($B20*J5&gt;0,$B20*J5,"")</f>
        <v/>
      </c>
      <c r="K20" s="26">
        <f>IF($B20*K5&gt;0,$B20*K5,"")</f>
        <v/>
      </c>
      <c r="L20" s="26">
        <f>IF($B20*L5&gt;0,$B20*L5,"")</f>
        <v/>
      </c>
      <c r="M20" s="26">
        <f>IF($B20*M5&gt;0,$B20*M5,"")</f>
        <v/>
      </c>
      <c r="P20" s="26">
        <f>IF($B20*P5&gt;0,$B20*P5,"")</f>
        <v/>
      </c>
      <c r="Q20" s="26">
        <f>IF($B20*Q5&gt;0,$B20*Q5,"")</f>
        <v/>
      </c>
      <c r="R20" s="26">
        <f>IF($B20*R5&gt;0,$B20*R5,"")</f>
        <v/>
      </c>
      <c r="S20" s="26">
        <f>IF($B20*S5&gt;0,$B20*S5,"")</f>
        <v/>
      </c>
      <c r="T20" s="26">
        <f>IF($B20*T5&gt;0,$B20*T5,"")</f>
        <v/>
      </c>
      <c r="U20" s="26">
        <f>IF($B20*U5&gt;0,$B20*U5,"")</f>
        <v/>
      </c>
    </row>
    <row r="21">
      <c r="A21" t="n">
        <v>4</v>
      </c>
      <c r="B21" s="30">
        <f>Season_Coeff!N22</f>
        <v/>
      </c>
      <c r="C21" s="26">
        <f>IF($B21*C6&gt;0,$B21*C6,"")</f>
        <v/>
      </c>
      <c r="D21" s="26">
        <f>IF($B21*D6&gt;0,$B21*D6,"")</f>
        <v/>
      </c>
      <c r="E21" s="26">
        <f>IF($B21*E6&gt;0,$B21*E6,"")</f>
        <v/>
      </c>
      <c r="F21" s="26">
        <f>IF($B21*F6&gt;0,$B21*F6,"")</f>
        <v/>
      </c>
      <c r="G21" s="26">
        <f>IF($B21*G6&gt;0,$B21*G6,"")</f>
        <v/>
      </c>
      <c r="H21" s="26">
        <f>IF($B21*H6&gt;0,$B21*H6,"")</f>
        <v/>
      </c>
      <c r="I21" s="26">
        <f>IF($B21*I6&gt;0,$B21*I6,"")</f>
        <v/>
      </c>
      <c r="J21" s="26">
        <f>IF($B21*J6&gt;0,$B21*J6,"")</f>
        <v/>
      </c>
      <c r="K21" s="26">
        <f>IF($B21*K6&gt;0,$B21*K6,"")</f>
        <v/>
      </c>
      <c r="L21" s="26">
        <f>IF($B21*L6&gt;0,$B21*L6,"")</f>
        <v/>
      </c>
      <c r="M21" s="26">
        <f>IF($B21*M6&gt;0,$B21*M6,"")</f>
        <v/>
      </c>
      <c r="P21" s="26">
        <f>IF($B21*P6&gt;0,$B21*P6,"")</f>
        <v/>
      </c>
      <c r="Q21" s="26">
        <f>IF($B21*Q6&gt;0,$B21*Q6,"")</f>
        <v/>
      </c>
      <c r="R21" s="26">
        <f>IF($B21*R6&gt;0,$B21*R6,"")</f>
        <v/>
      </c>
      <c r="S21" s="26">
        <f>IF($B21*S6&gt;0,$B21*S6,"")</f>
        <v/>
      </c>
      <c r="T21" s="26">
        <f>IF($B21*T6&gt;0,$B21*T6,"")</f>
        <v/>
      </c>
      <c r="U21" s="26">
        <f>IF($B21*U6&gt;0,$B21*U6,"")</f>
        <v/>
      </c>
    </row>
    <row r="22">
      <c r="A22" t="n">
        <v>5</v>
      </c>
      <c r="B22" s="30">
        <f>Season_Coeff!N23</f>
        <v/>
      </c>
      <c r="C22" s="26">
        <f>IF($B22*C7&gt;0,$B22*C7,"")</f>
        <v/>
      </c>
      <c r="D22" s="26">
        <f>IF($B22*D7&gt;0,$B22*D7,"")</f>
        <v/>
      </c>
      <c r="E22" s="26">
        <f>IF($B22*E7&gt;0,$B22*E7,"")</f>
        <v/>
      </c>
      <c r="F22" s="26">
        <f>IF($B22*F7&gt;0,$B22*F7,"")</f>
        <v/>
      </c>
      <c r="G22" s="26">
        <f>IF($B22*G7&gt;0,$B22*G7,"")</f>
        <v/>
      </c>
      <c r="H22" s="26">
        <f>IF($B22*H7&gt;0,$B22*H7,"")</f>
        <v/>
      </c>
      <c r="I22" s="26">
        <f>IF($B22*I7&gt;0,$B22*I7,"")</f>
        <v/>
      </c>
      <c r="J22" s="26">
        <f>IF($B22*J7&gt;0,$B22*J7,"")</f>
        <v/>
      </c>
      <c r="K22" s="26">
        <f>IF($B22*K7&gt;0,$B22*K7,"")</f>
        <v/>
      </c>
      <c r="L22" s="26">
        <f>IF($B22*L7&gt;0,$B22*L7,"")</f>
        <v/>
      </c>
      <c r="M22" s="26">
        <f>IF($B22*M7&gt;0,$B22*M7,"")</f>
        <v/>
      </c>
      <c r="P22" s="26">
        <f>IF($B22*P7&gt;0,$B22*P7,"")</f>
        <v/>
      </c>
      <c r="Q22" s="26">
        <f>IF($B22*Q7&gt;0,$B22*Q7,"")</f>
        <v/>
      </c>
      <c r="R22" s="26">
        <f>IF($B22*R7&gt;0,$B22*R7,"")</f>
        <v/>
      </c>
      <c r="S22" s="26">
        <f>IF($B22*S7&gt;0,$B22*S7,"")</f>
        <v/>
      </c>
      <c r="T22" s="26">
        <f>IF($B22*T7&gt;0,$B22*T7,"")</f>
        <v/>
      </c>
      <c r="U22" s="26">
        <f>IF($B22*U7&gt;0,$B22*U7,"")</f>
        <v/>
      </c>
    </row>
    <row r="23">
      <c r="A23" t="n">
        <v>6</v>
      </c>
      <c r="B23" s="30">
        <f>Season_Coeff!N24</f>
        <v/>
      </c>
      <c r="C23" s="26">
        <f>IF($B23*C8&gt;0,$B23*C8,"")</f>
        <v/>
      </c>
      <c r="D23" s="26">
        <f>IF($B23*D8&gt;0,$B23*D8,"")</f>
        <v/>
      </c>
      <c r="E23" s="26">
        <f>IF($B23*E8&gt;0,$B23*E8,"")</f>
        <v/>
      </c>
      <c r="F23" s="26">
        <f>IF($B23*F8&gt;0,$B23*F8,"")</f>
        <v/>
      </c>
      <c r="G23" s="26">
        <f>IF($B23*G8&gt;0,$B23*G8,"")</f>
        <v/>
      </c>
      <c r="H23" s="26">
        <f>IF($B23*H8&gt;0,$B23*H8,"")</f>
        <v/>
      </c>
      <c r="I23" s="26">
        <f>IF($B23*I8&gt;0,$B23*I8,"")</f>
        <v/>
      </c>
      <c r="J23" s="26">
        <f>IF($B23*J8&gt;0,$B23*J8,"")</f>
        <v/>
      </c>
      <c r="K23" s="26">
        <f>IF($B23*K8&gt;0,$B23*K8,"")</f>
        <v/>
      </c>
      <c r="L23" s="26">
        <f>IF($B23*L8&gt;0,$B23*L8,"")</f>
        <v/>
      </c>
      <c r="M23" s="26">
        <f>IF($B23*M8&gt;0,$B23*M8,"")</f>
        <v/>
      </c>
      <c r="P23" s="26">
        <f>IF($B23*P8&gt;0,$B23*P8,"")</f>
        <v/>
      </c>
      <c r="Q23" s="26">
        <f>IF($B23*Q8&gt;0,$B23*Q8,"")</f>
        <v/>
      </c>
      <c r="R23" s="26">
        <f>IF($B23*R8&gt;0,$B23*R8,"")</f>
        <v/>
      </c>
      <c r="S23" s="26">
        <f>IF($B23*S8&gt;0,$B23*S8,"")</f>
        <v/>
      </c>
      <c r="T23" s="26">
        <f>IF($B23*T8&gt;0,$B23*T8,"")</f>
        <v/>
      </c>
      <c r="U23" s="26">
        <f>IF($B23*U8&gt;0,$B23*U8,"")</f>
        <v/>
      </c>
    </row>
    <row r="24">
      <c r="A24" t="n">
        <v>7</v>
      </c>
      <c r="B24" s="30">
        <f>Season_Coeff!N25</f>
        <v/>
      </c>
      <c r="C24" s="26">
        <f>IF($B24*C9&gt;0,$B24*C9,"")</f>
        <v/>
      </c>
      <c r="D24" s="26">
        <f>IF($B24*D9&gt;0,$B24*D9,"")</f>
        <v/>
      </c>
      <c r="E24" s="26">
        <f>IF($B24*E9&gt;0,$B24*E9,"")</f>
        <v/>
      </c>
      <c r="F24" s="26">
        <f>IF($B24*F9&gt;0,$B24*F9,"")</f>
        <v/>
      </c>
      <c r="G24" s="26">
        <f>IF($B24*G9&gt;0,$B24*G9,"")</f>
        <v/>
      </c>
      <c r="H24" s="26">
        <f>IF($B24*H9&gt;0,$B24*H9,"")</f>
        <v/>
      </c>
      <c r="I24" s="26">
        <f>IF($B24*I9&gt;0,$B24*I9,"")</f>
        <v/>
      </c>
      <c r="J24" s="26">
        <f>IF($B24*J9&gt;0,$B24*J9,"")</f>
        <v/>
      </c>
      <c r="K24" s="26">
        <f>IF($B24*K9&gt;0,$B24*K9,"")</f>
        <v/>
      </c>
      <c r="L24" s="26">
        <f>IF($B24*L9&gt;0,$B24*L9,"")</f>
        <v/>
      </c>
      <c r="M24" s="26">
        <f>IF($B24*M9&gt;0,$B24*M9,"")</f>
        <v/>
      </c>
      <c r="P24" s="26">
        <f>IF($B24*P9&gt;0,$B24*P9,"")</f>
        <v/>
      </c>
      <c r="Q24" s="26">
        <f>IF($B24*Q9&gt;0,$B24*Q9,"")</f>
        <v/>
      </c>
      <c r="R24" s="26">
        <f>IF($B24*R9&gt;0,$B24*R9,"")</f>
        <v/>
      </c>
      <c r="S24" s="26">
        <f>IF($B24*S9&gt;0,$B24*S9,"")</f>
        <v/>
      </c>
      <c r="T24" s="26">
        <f>IF($B24*T9&gt;0,$B24*T9,"")</f>
        <v/>
      </c>
      <c r="U24" s="26">
        <f>IF($B24*U9&gt;0,$B24*U9,"")</f>
        <v/>
      </c>
    </row>
    <row r="25">
      <c r="A25" t="n">
        <v>8</v>
      </c>
      <c r="B25" s="30">
        <f>Season_Coeff!N26</f>
        <v/>
      </c>
      <c r="C25" s="26">
        <f>IF($B25*C10&gt;0,$B25*C10,"")</f>
        <v/>
      </c>
      <c r="D25" s="26">
        <f>IF($B25*D10&gt;0,$B25*D10,"")</f>
        <v/>
      </c>
      <c r="E25" s="26">
        <f>IF($B25*E10&gt;0,$B25*E10,"")</f>
        <v/>
      </c>
      <c r="F25" s="26">
        <f>IF($B25*F10&gt;0,$B25*F10,"")</f>
        <v/>
      </c>
      <c r="G25" s="26">
        <f>IF($B25*G10&gt;0,$B25*G10,"")</f>
        <v/>
      </c>
      <c r="H25" s="26">
        <f>IF($B25*H10&gt;0,$B25*H10,"")</f>
        <v/>
      </c>
      <c r="I25" s="26">
        <f>IF($B25*I10&gt;0,$B25*I10,"")</f>
        <v/>
      </c>
      <c r="J25" s="26">
        <f>IF($B25*J10&gt;0,$B25*J10,"")</f>
        <v/>
      </c>
      <c r="K25" s="26">
        <f>IF($B25*K10&gt;0,$B25*K10,"")</f>
        <v/>
      </c>
      <c r="L25" s="26">
        <f>IF($B25*L10&gt;0,$B25*L10,"")</f>
        <v/>
      </c>
      <c r="M25" s="26">
        <f>IF($B25*M10&gt;0,$B25*M10,"")</f>
        <v/>
      </c>
      <c r="P25" s="26">
        <f>IF($B25*P10&gt;0,$B25*P10,"")</f>
        <v/>
      </c>
      <c r="Q25" s="26">
        <f>IF($B25*Q10&gt;0,$B25*Q10,"")</f>
        <v/>
      </c>
      <c r="R25" s="26">
        <f>IF($B25*R10&gt;0,$B25*R10,"")</f>
        <v/>
      </c>
      <c r="S25" s="26">
        <f>IF($B25*S10&gt;0,$B25*S10,"")</f>
        <v/>
      </c>
      <c r="T25" s="26">
        <f>IF($B25*T10&gt;0,$B25*T10,"")</f>
        <v/>
      </c>
      <c r="U25" s="26">
        <f>IF($B25*U10&gt;0,$B25*U10,"")</f>
        <v/>
      </c>
    </row>
    <row r="26">
      <c r="A26" t="n">
        <v>9</v>
      </c>
      <c r="B26" s="30">
        <f>Season_Coeff!N27</f>
        <v/>
      </c>
      <c r="C26" s="26">
        <f>IF($B26*C11&gt;0,$B26*C11,"")</f>
        <v/>
      </c>
      <c r="D26" s="26">
        <f>IF($B26*D11&gt;0,$B26*D11,"")</f>
        <v/>
      </c>
      <c r="E26" s="26">
        <f>IF($B26*E11&gt;0,$B26*E11,"")</f>
        <v/>
      </c>
      <c r="F26" s="26">
        <f>IF($B26*F11&gt;0,$B26*F11,"")</f>
        <v/>
      </c>
      <c r="G26" s="26">
        <f>IF($B26*G11&gt;0,$B26*G11,"")</f>
        <v/>
      </c>
      <c r="H26" s="26">
        <f>IF($B26*H11&gt;0,$B26*H11,"")</f>
        <v/>
      </c>
      <c r="I26" s="26">
        <f>IF($B26*I11&gt;0,$B26*I11,"")</f>
        <v/>
      </c>
      <c r="J26" s="26">
        <f>IF($B26*J11&gt;0,$B26*J11,"")</f>
        <v/>
      </c>
      <c r="K26" s="26">
        <f>IF($B26*K11&gt;0,$B26*K11,"")</f>
        <v/>
      </c>
      <c r="L26" s="26">
        <f>IF($B26*L11&gt;0,$B26*L11,"")</f>
        <v/>
      </c>
      <c r="M26" s="26">
        <f>IF($B26*M11&gt;0,$B26*M11,"")</f>
        <v/>
      </c>
      <c r="P26" s="26">
        <f>IF($B26*P11&gt;0,$B26*P11,"")</f>
        <v/>
      </c>
      <c r="Q26" s="26">
        <f>IF($B26*Q11&gt;0,$B26*Q11,"")</f>
        <v/>
      </c>
      <c r="R26" s="26">
        <f>IF($B26*R11&gt;0,$B26*R11,"")</f>
        <v/>
      </c>
      <c r="S26" s="26">
        <f>IF($B26*S11&gt;0,$B26*S11,"")</f>
        <v/>
      </c>
      <c r="T26" s="26">
        <f>IF($B26*T11&gt;0,$B26*T11,"")</f>
        <v/>
      </c>
      <c r="U26" s="26">
        <f>IF($B26*U11&gt;0,$B26*U11,"")</f>
        <v/>
      </c>
    </row>
    <row r="27">
      <c r="A27" t="n">
        <v>10</v>
      </c>
      <c r="B27" s="30">
        <f>Season_Coeff!N28</f>
        <v/>
      </c>
      <c r="C27" s="26">
        <f>IF($B27*C12&gt;0,$B27*C12,"")</f>
        <v/>
      </c>
      <c r="D27" s="26">
        <f>IF($B27*D12&gt;0,$B27*D12,"")</f>
        <v/>
      </c>
      <c r="E27" s="26">
        <f>IF($B27*E12&gt;0,$B27*E12,"")</f>
        <v/>
      </c>
      <c r="F27" s="26">
        <f>IF($B27*F12&gt;0,$B27*F12,"")</f>
        <v/>
      </c>
      <c r="G27" s="26">
        <f>IF($B27*G12&gt;0,$B27*G12,"")</f>
        <v/>
      </c>
      <c r="H27" s="26">
        <f>IF($B27*H12&gt;0,$B27*H12,"")</f>
        <v/>
      </c>
      <c r="I27" s="26">
        <f>IF($B27*I12&gt;0,$B27*I12,"")</f>
        <v/>
      </c>
      <c r="J27" s="26">
        <f>IF($B27*J12&gt;0,$B27*J12,"")</f>
        <v/>
      </c>
      <c r="K27" s="26">
        <f>IF($B27*K12&gt;0,$B27*K12,"")</f>
        <v/>
      </c>
      <c r="L27" s="26">
        <f>IF($B27*L12&gt;0,$B27*L12,"")</f>
        <v/>
      </c>
      <c r="M27" s="26">
        <f>IF($B27*M12&gt;0,$B27*M12,"")</f>
        <v/>
      </c>
      <c r="P27" s="26">
        <f>IF($B27*P12&gt;0,$B27*P12,"")</f>
        <v/>
      </c>
      <c r="Q27" s="26">
        <f>IF($B27*Q12&gt;0,$B27*Q12,"")</f>
        <v/>
      </c>
      <c r="R27" s="26">
        <f>IF($B27*R12&gt;0,$B27*R12,"")</f>
        <v/>
      </c>
      <c r="S27" s="26">
        <f>IF($B27*S12&gt;0,$B27*S12,"")</f>
        <v/>
      </c>
      <c r="T27" s="26">
        <f>IF($B27*T12&gt;0,$B27*T12,"")</f>
        <v/>
      </c>
      <c r="U27" s="26">
        <f>IF($B27*U12&gt;0,$B27*U12,"")</f>
        <v/>
      </c>
    </row>
    <row r="28">
      <c r="A28" t="n">
        <v>11</v>
      </c>
      <c r="B28" s="30">
        <f>Season_Coeff!N29</f>
        <v/>
      </c>
      <c r="C28" s="26">
        <f>IF($B28*C13&gt;0,$B28*C13,"")</f>
        <v/>
      </c>
      <c r="D28" s="26">
        <f>IF($B28*D13&gt;0,$B28*D13,"")</f>
        <v/>
      </c>
      <c r="E28" s="26">
        <f>IF($B28*E13&gt;0,$B28*E13,"")</f>
        <v/>
      </c>
      <c r="F28" s="26">
        <f>IF($B28*F13&gt;0,$B28*F13,"")</f>
        <v/>
      </c>
      <c r="G28" s="26">
        <f>IF($B28*G13&gt;0,$B28*G13,"")</f>
        <v/>
      </c>
      <c r="H28" s="26">
        <f>IF($B28*H13&gt;0,$B28*H13,"")</f>
        <v/>
      </c>
      <c r="I28" s="26">
        <f>IF($B28*I13&gt;0,$B28*I13,"")</f>
        <v/>
      </c>
      <c r="J28" s="26">
        <f>IF($B28*J13&gt;0,$B28*J13,"")</f>
        <v/>
      </c>
      <c r="K28" s="26">
        <f>IF($B28*K13&gt;0,$B28*K13,"")</f>
        <v/>
      </c>
      <c r="L28" s="26">
        <f>IF($B28*L13&gt;0,$B28*L13,"")</f>
        <v/>
      </c>
      <c r="M28" s="26">
        <f>IF($B28*M13&gt;0,$B28*M13,"")</f>
        <v/>
      </c>
      <c r="P28" s="26">
        <f>IF($B28*P13&gt;0,$B28*P13,"")</f>
        <v/>
      </c>
      <c r="Q28" s="26">
        <f>IF($B28*Q13&gt;0,$B28*Q13,"")</f>
        <v/>
      </c>
      <c r="R28" s="26">
        <f>IF($B28*R13&gt;0,$B28*R13,"")</f>
        <v/>
      </c>
      <c r="S28" s="26">
        <f>IF($B28*S13&gt;0,$B28*S13,"")</f>
        <v/>
      </c>
      <c r="T28" s="26">
        <f>IF($B28*T13&gt;0,$B28*T13,"")</f>
        <v/>
      </c>
      <c r="U28" s="26">
        <f>IF($B28*U13&gt;0,$B28*U13,"")</f>
        <v/>
      </c>
    </row>
    <row r="29">
      <c r="A29" t="n">
        <v>12</v>
      </c>
      <c r="B29" s="30">
        <f>Season_Coeff!N30</f>
        <v/>
      </c>
      <c r="C29" s="26">
        <f>IF($B29*C14&gt;0,$B29*C14,"")</f>
        <v/>
      </c>
      <c r="D29" s="26">
        <f>IF($B29*D14&gt;0,$B29*D14,"")</f>
        <v/>
      </c>
      <c r="E29" s="26">
        <f>IF($B29*E14&gt;0,$B29*E14,"")</f>
        <v/>
      </c>
      <c r="F29" s="26">
        <f>IF($B29*F14&gt;0,$B29*F14,"")</f>
        <v/>
      </c>
      <c r="G29" s="26">
        <f>IF($B29*G14&gt;0,$B29*G14,"")</f>
        <v/>
      </c>
      <c r="H29" s="26">
        <f>IF($B29*H14&gt;0,$B29*H14,"")</f>
        <v/>
      </c>
      <c r="I29" s="26">
        <f>IF($B29*I14&gt;0,$B29*I14,"")</f>
        <v/>
      </c>
      <c r="J29" s="26">
        <f>IF($B29*J14&gt;0,$B29*J14,"")</f>
        <v/>
      </c>
      <c r="K29" s="26">
        <f>IF($B29*K14&gt;0,$B29*K14,"")</f>
        <v/>
      </c>
      <c r="L29" s="26">
        <f>IF($B29*L14&gt;0,$B29*L14,"")</f>
        <v/>
      </c>
      <c r="M29" s="26">
        <f>IF($B29*M14&gt;0,$B29*M14,"")</f>
        <v/>
      </c>
      <c r="P29" s="26">
        <f>IF($B29*P14&gt;0,$B29*P14,"")</f>
        <v/>
      </c>
      <c r="Q29" s="26">
        <f>IF($B29*Q14&gt;0,$B29*Q14,"")</f>
        <v/>
      </c>
      <c r="R29" s="26">
        <f>IF($B29*R14&gt;0,$B29*R14,"")</f>
        <v/>
      </c>
      <c r="S29" s="26">
        <f>IF($B29*S14&gt;0,$B29*S14,"")</f>
        <v/>
      </c>
      <c r="T29" s="26">
        <f>IF($B29*T14&gt;0,$B29*T14,"")</f>
        <v/>
      </c>
      <c r="U29" s="26">
        <f>IF($B29*U14&gt;0,$B29*U14,"")</f>
        <v/>
      </c>
    </row>
    <row r="30">
      <c r="B30" s="33" t="inlineStr">
        <is>
          <t>Tot</t>
        </is>
      </c>
      <c r="C30" s="33">
        <f>SUM(C18:C29)</f>
        <v/>
      </c>
      <c r="D30" s="33">
        <f>SUM(D18:D29)</f>
        <v/>
      </c>
      <c r="E30" s="33">
        <f>SUM(E18:E29)</f>
        <v/>
      </c>
      <c r="F30" s="33">
        <f>SUM(F18:F29)</f>
        <v/>
      </c>
      <c r="G30" s="33">
        <f>SUM(G18:G29)</f>
        <v/>
      </c>
      <c r="H30" s="33">
        <f>SUM(H18:H29)</f>
        <v/>
      </c>
      <c r="I30" s="33">
        <f>SUM(I18:I29)</f>
        <v/>
      </c>
      <c r="J30" s="33">
        <f>SUM(J18:J29)</f>
        <v/>
      </c>
      <c r="K30" s="33">
        <f>SUM(K18:K29)</f>
        <v/>
      </c>
      <c r="L30" s="33">
        <f>SUM(L18:L29)</f>
        <v/>
      </c>
      <c r="M30" s="33">
        <f>SUM(M18:M29)</f>
        <v/>
      </c>
      <c r="N30" s="26" t="n"/>
      <c r="O30" s="26" t="n"/>
      <c r="P30" s="33">
        <f>SUM(P18:P29)</f>
        <v/>
      </c>
      <c r="Q30" s="33">
        <f>SUM(Q18:Q29)</f>
        <v/>
      </c>
      <c r="R30" s="33">
        <f>SUM(R18:R29)</f>
        <v/>
      </c>
      <c r="S30" s="33">
        <f>SUM(S18:S29)</f>
        <v/>
      </c>
      <c r="T30" s="33">
        <f>SUM(T18:T29)</f>
        <v/>
      </c>
      <c r="U30" s="33">
        <f>SUM(U18:U29)</f>
        <v/>
      </c>
      <c r="V30" s="26" t="n"/>
      <c r="W30" s="26" t="n"/>
      <c r="X30" s="26" t="n"/>
      <c r="Y30" s="26" t="n"/>
    </row>
  </sheetData>
  <mergeCells count="1">
    <mergeCell ref="O1:U1"/>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AG30"/>
  <sheetViews>
    <sheetView workbookViewId="0">
      <selection activeCell="A1" sqref="A1"/>
    </sheetView>
  </sheetViews>
  <sheetFormatPr baseColWidth="8" defaultRowHeight="12.75"/>
  <cols>
    <col width="3.7109375" customWidth="1" style="158" min="1" max="1"/>
  </cols>
  <sheetData>
    <row r="1" ht="13.5" customHeight="1" s="158" thickTop="1">
      <c r="B1" s="166" t="inlineStr">
        <is>
          <t>Table B20-13.  DOE-2.1E Monthly and Total Heating Loads (million Btu)</t>
        </is>
      </c>
      <c r="C1" s="167" t="n"/>
      <c r="D1" s="167" t="n"/>
      <c r="E1" s="167" t="n"/>
      <c r="F1" s="167" t="n"/>
      <c r="G1" s="167" t="n"/>
      <c r="H1" s="167" t="n"/>
      <c r="I1" s="167" t="n"/>
      <c r="J1" s="167" t="n"/>
      <c r="K1" s="167" t="n"/>
      <c r="L1" s="167" t="n"/>
      <c r="M1" s="167" t="n"/>
      <c r="N1" s="167" t="n"/>
      <c r="O1" s="167" t="n"/>
      <c r="P1" s="167" t="n"/>
      <c r="Q1" s="167" t="n"/>
      <c r="R1" s="167" t="n"/>
      <c r="S1" s="167" t="n"/>
      <c r="T1" s="167" t="n"/>
      <c r="U1" s="167" t="n"/>
      <c r="V1" s="167" t="n"/>
      <c r="W1" s="167" t="n"/>
      <c r="X1" s="167" t="n"/>
      <c r="Y1" s="168" t="n"/>
      <c r="AA1" s="180" t="inlineStr">
        <is>
          <t>Table B20-14.  DOE-2.1E Monthly and Total Heating Loads (million Btu)</t>
        </is>
      </c>
      <c r="AB1" s="181" t="n"/>
      <c r="AC1" s="181" t="n"/>
      <c r="AD1" s="181" t="n"/>
      <c r="AE1" s="181" t="n"/>
      <c r="AF1" s="181" t="n"/>
      <c r="AG1" s="182" t="n"/>
    </row>
    <row r="2" ht="13.5" customHeight="1" s="158" thickBot="1">
      <c r="B2" s="2" t="n"/>
      <c r="C2" s="3" t="inlineStr">
        <is>
          <t>L100AC</t>
        </is>
      </c>
      <c r="D2" s="3" t="inlineStr">
        <is>
          <t>L110AC</t>
        </is>
      </c>
      <c r="E2" s="3" t="inlineStr">
        <is>
          <t>L120AC</t>
        </is>
      </c>
      <c r="F2" s="3" t="inlineStr">
        <is>
          <t>L130AC</t>
        </is>
      </c>
      <c r="G2" s="3" t="inlineStr">
        <is>
          <t>L140AC</t>
        </is>
      </c>
      <c r="H2" s="3" t="inlineStr">
        <is>
          <t>L150AC</t>
        </is>
      </c>
      <c r="I2" s="3" t="inlineStr">
        <is>
          <t>L155AC</t>
        </is>
      </c>
      <c r="J2" s="3" t="inlineStr">
        <is>
          <t>L160AC</t>
        </is>
      </c>
      <c r="K2" s="3" t="inlineStr">
        <is>
          <t>L170AC</t>
        </is>
      </c>
      <c r="L2" s="3" t="inlineStr">
        <is>
          <t>L200AC</t>
        </is>
      </c>
      <c r="M2" s="3" t="inlineStr">
        <is>
          <t>L202AC</t>
        </is>
      </c>
      <c r="N2" s="61" t="inlineStr">
        <is>
          <t>L302AC</t>
        </is>
      </c>
      <c r="O2" s="3" t="inlineStr">
        <is>
          <t>L302BC</t>
        </is>
      </c>
      <c r="P2" s="3" t="inlineStr">
        <is>
          <t>L304AC</t>
        </is>
      </c>
      <c r="Q2" s="3" t="inlineStr">
        <is>
          <t>L304BC</t>
        </is>
      </c>
      <c r="R2" s="3" t="inlineStr">
        <is>
          <t>L322A1</t>
        </is>
      </c>
      <c r="S2" s="3" t="inlineStr">
        <is>
          <t>L322A2</t>
        </is>
      </c>
      <c r="T2" s="3" t="inlineStr">
        <is>
          <t>L322B1</t>
        </is>
      </c>
      <c r="U2" s="3" t="inlineStr">
        <is>
          <t>L322B2</t>
        </is>
      </c>
      <c r="V2" s="3" t="inlineStr">
        <is>
          <t>L324A1</t>
        </is>
      </c>
      <c r="W2" s="3" t="inlineStr">
        <is>
          <t>L324A2</t>
        </is>
      </c>
      <c r="X2" s="3" t="inlineStr">
        <is>
          <t>L324B1</t>
        </is>
      </c>
      <c r="Y2" s="4" t="inlineStr">
        <is>
          <t>L324B2</t>
        </is>
      </c>
      <c r="AA2" s="2" t="n"/>
      <c r="AB2" s="3" t="inlineStr">
        <is>
          <t>L165AC</t>
        </is>
      </c>
      <c r="AC2" s="3" t="inlineStr">
        <is>
          <t>P100AC</t>
        </is>
      </c>
      <c r="AD2" s="3" t="inlineStr">
        <is>
          <t>P105AC</t>
        </is>
      </c>
      <c r="AE2" s="3" t="inlineStr">
        <is>
          <t>P110AC</t>
        </is>
      </c>
      <c r="AF2" s="3" t="inlineStr">
        <is>
          <t>P140AC</t>
        </is>
      </c>
      <c r="AG2" s="4" t="inlineStr">
        <is>
          <t>P150AC</t>
        </is>
      </c>
    </row>
    <row r="3">
      <c r="A3" t="n">
        <v>1</v>
      </c>
      <c r="B3" s="1" t="inlineStr">
        <is>
          <t>Jan</t>
        </is>
      </c>
      <c r="C3" s="24" t="n">
        <v>10.58</v>
      </c>
      <c r="D3" s="24" t="n">
        <v>14.39</v>
      </c>
      <c r="E3" s="24" t="n">
        <v>8.460000000000001</v>
      </c>
      <c r="F3" s="24" t="n">
        <v>8.56</v>
      </c>
      <c r="G3" s="24" t="n">
        <v>8.67</v>
      </c>
      <c r="H3" s="24" t="n">
        <v>8.630000000000001</v>
      </c>
      <c r="I3" s="24" t="n">
        <v>8.73</v>
      </c>
      <c r="J3" s="24" t="n">
        <v>11.11</v>
      </c>
      <c r="K3" s="24" t="n">
        <v>12.3</v>
      </c>
      <c r="L3" s="24" t="n">
        <v>22.72</v>
      </c>
      <c r="M3" s="24" t="n">
        <v>23.56</v>
      </c>
      <c r="N3" s="62" t="n">
        <v>11.93</v>
      </c>
      <c r="O3" s="24" t="n">
        <v>11.37</v>
      </c>
      <c r="P3" s="24" t="n">
        <v>10.21</v>
      </c>
      <c r="Q3" s="24" t="n">
        <v>9.68</v>
      </c>
      <c r="R3" s="24" t="n">
        <v>15.43</v>
      </c>
      <c r="S3" s="24" t="n">
        <v>15.3</v>
      </c>
      <c r="T3" s="24" t="n">
        <v>15.03</v>
      </c>
      <c r="U3" s="24" t="n">
        <v>15.54</v>
      </c>
      <c r="V3" s="24" t="n">
        <v>11.18</v>
      </c>
      <c r="W3" s="24" t="n">
        <v>11.18</v>
      </c>
      <c r="X3" s="24" t="n">
        <v>10.28</v>
      </c>
      <c r="Y3" s="7" t="n">
        <v>9.92</v>
      </c>
      <c r="AA3" s="1" t="inlineStr">
        <is>
          <t>Jan</t>
        </is>
      </c>
      <c r="AB3" s="24" t="n">
        <v>12.14</v>
      </c>
      <c r="AC3" s="24" t="n">
        <v>2.04</v>
      </c>
      <c r="AD3" s="24" t="n">
        <v>2.12</v>
      </c>
      <c r="AE3" s="24" t="n">
        <v>3.71</v>
      </c>
      <c r="AF3" s="24" t="n">
        <v>5.14</v>
      </c>
      <c r="AG3" s="7" t="n">
        <v>4.94</v>
      </c>
    </row>
    <row r="4">
      <c r="A4" t="n">
        <v>2</v>
      </c>
      <c r="B4" s="1" t="inlineStr">
        <is>
          <t>Feb</t>
        </is>
      </c>
      <c r="C4" s="24" t="n">
        <v>9.039999999999999</v>
      </c>
      <c r="D4" s="24" t="n">
        <v>12.35</v>
      </c>
      <c r="E4" s="24" t="n">
        <v>7.23</v>
      </c>
      <c r="F4" s="24" t="n">
        <v>7.28</v>
      </c>
      <c r="G4" s="24" t="n">
        <v>7.46</v>
      </c>
      <c r="H4" s="24" t="n">
        <v>7.62</v>
      </c>
      <c r="I4" s="24" t="n">
        <v>7.8</v>
      </c>
      <c r="J4" s="24" t="n">
        <v>9.17</v>
      </c>
      <c r="K4" s="24" t="n">
        <v>10.58</v>
      </c>
      <c r="L4" s="24" t="n">
        <v>19.67</v>
      </c>
      <c r="M4" s="24" t="n">
        <v>20.46</v>
      </c>
      <c r="N4" s="62" t="n">
        <v>10.24</v>
      </c>
      <c r="O4" s="24" t="n">
        <v>9.880000000000001</v>
      </c>
      <c r="P4" s="24" t="n">
        <v>8.73</v>
      </c>
      <c r="Q4" s="24" t="n">
        <v>8.34</v>
      </c>
      <c r="R4" s="24" t="n">
        <v>13.3</v>
      </c>
      <c r="S4" s="24" t="n">
        <v>13.24</v>
      </c>
      <c r="T4" s="24" t="n">
        <v>13.08</v>
      </c>
      <c r="U4" s="24" t="n">
        <v>13.48</v>
      </c>
      <c r="V4" s="24" t="n">
        <v>9.56</v>
      </c>
      <c r="W4" s="24" t="n">
        <v>9.58</v>
      </c>
      <c r="X4" s="24" t="n">
        <v>8.869999999999999</v>
      </c>
      <c r="Y4" s="7" t="n">
        <v>8.6</v>
      </c>
      <c r="AA4" s="1" t="inlineStr">
        <is>
          <t>Feb</t>
        </is>
      </c>
      <c r="AB4" s="24" t="n">
        <v>10.14</v>
      </c>
      <c r="AC4" s="24" t="n">
        <v>1.9</v>
      </c>
      <c r="AD4" s="24" t="n">
        <v>2.01</v>
      </c>
      <c r="AE4" s="24" t="n">
        <v>3.44</v>
      </c>
      <c r="AF4" s="24" t="n">
        <v>4.45</v>
      </c>
      <c r="AG4" s="7" t="n">
        <v>4.17</v>
      </c>
    </row>
    <row r="5">
      <c r="A5" t="n">
        <v>3</v>
      </c>
      <c r="B5" s="1" t="inlineStr">
        <is>
          <t>Mar</t>
        </is>
      </c>
      <c r="C5" s="24" t="n">
        <v>8.32</v>
      </c>
      <c r="D5" s="24" t="n">
        <v>11.55</v>
      </c>
      <c r="E5" s="24" t="n">
        <v>6.59</v>
      </c>
      <c r="F5" s="24" t="n">
        <v>6.67</v>
      </c>
      <c r="G5" s="24" t="n">
        <v>7.01</v>
      </c>
      <c r="H5" s="24" t="n">
        <v>7.31</v>
      </c>
      <c r="I5" s="24" t="n">
        <v>7.8</v>
      </c>
      <c r="J5" s="24" t="n">
        <v>7.88</v>
      </c>
      <c r="K5" s="24" t="n">
        <v>9.960000000000001</v>
      </c>
      <c r="L5" s="24" t="n">
        <v>18.83</v>
      </c>
      <c r="M5" s="24" t="n">
        <v>19.74</v>
      </c>
      <c r="N5" s="62" t="n">
        <v>9.539999999999999</v>
      </c>
      <c r="O5" s="24" t="n">
        <v>8.949999999999999</v>
      </c>
      <c r="P5" s="24" t="n">
        <v>8.050000000000001</v>
      </c>
      <c r="Q5" s="24" t="n">
        <v>7.47</v>
      </c>
      <c r="R5" s="24" t="n">
        <v>12.53</v>
      </c>
      <c r="S5" s="24" t="n">
        <v>12.48</v>
      </c>
      <c r="T5" s="24" t="n">
        <v>11.92</v>
      </c>
      <c r="U5" s="24" t="n">
        <v>12.39</v>
      </c>
      <c r="V5" s="24" t="n">
        <v>8.800000000000001</v>
      </c>
      <c r="W5" s="24" t="n">
        <v>8.82</v>
      </c>
      <c r="X5" s="24" t="n">
        <v>7.8</v>
      </c>
      <c r="Y5" s="7" t="n">
        <v>7.71</v>
      </c>
      <c r="AA5" s="1" t="inlineStr">
        <is>
          <t>Mar</t>
        </is>
      </c>
      <c r="AB5" s="24" t="n">
        <v>8.890000000000001</v>
      </c>
      <c r="AC5" s="24" t="n">
        <v>1.8</v>
      </c>
      <c r="AD5" s="24" t="n">
        <v>2.32</v>
      </c>
      <c r="AE5" s="24" t="n">
        <v>3.27</v>
      </c>
      <c r="AF5" s="24" t="n">
        <v>4.09</v>
      </c>
      <c r="AG5" s="7" t="n">
        <v>3.42</v>
      </c>
    </row>
    <row r="6">
      <c r="A6" t="n">
        <v>4</v>
      </c>
      <c r="B6" s="1" t="inlineStr">
        <is>
          <t>Apr</t>
        </is>
      </c>
      <c r="C6" s="24" t="n">
        <v>4.79</v>
      </c>
      <c r="D6" s="24" t="n">
        <v>6.83</v>
      </c>
      <c r="E6" s="24" t="n">
        <v>3.67</v>
      </c>
      <c r="F6" s="24" t="n">
        <v>3.73</v>
      </c>
      <c r="G6" s="24" t="n">
        <v>3.98</v>
      </c>
      <c r="H6" s="24" t="n">
        <v>4.61</v>
      </c>
      <c r="I6" s="24" t="n">
        <v>5.12</v>
      </c>
      <c r="J6" s="24" t="n">
        <v>4.3</v>
      </c>
      <c r="K6" s="24" t="n">
        <v>6.11</v>
      </c>
      <c r="L6" s="24" t="n">
        <v>11.65</v>
      </c>
      <c r="M6" s="24" t="n">
        <v>12.33</v>
      </c>
      <c r="N6" s="62" t="n">
        <v>5.64</v>
      </c>
      <c r="O6" s="24" t="n">
        <v>4.85</v>
      </c>
      <c r="P6" s="24" t="n">
        <v>4.69</v>
      </c>
      <c r="Q6" s="24" t="n">
        <v>3.96</v>
      </c>
      <c r="R6" s="24" t="n">
        <v>7.47</v>
      </c>
      <c r="S6" s="24" t="n">
        <v>7.38</v>
      </c>
      <c r="T6" s="24" t="n">
        <v>6.12</v>
      </c>
      <c r="U6" s="24" t="n">
        <v>6.7</v>
      </c>
      <c r="V6" s="24" t="n">
        <v>5.05</v>
      </c>
      <c r="W6" s="24" t="n">
        <v>4.99</v>
      </c>
      <c r="X6" s="24" t="n">
        <v>3.72</v>
      </c>
      <c r="Y6" s="7" t="n">
        <v>4.21</v>
      </c>
      <c r="AA6" s="1" t="inlineStr">
        <is>
          <t>Apr</t>
        </is>
      </c>
      <c r="AB6" s="24" t="n">
        <v>4.83</v>
      </c>
      <c r="AC6" s="24" t="n">
        <v>1.05</v>
      </c>
      <c r="AD6" s="24" t="n">
        <v>1.73</v>
      </c>
      <c r="AE6" s="24" t="n">
        <v>1.98</v>
      </c>
      <c r="AF6" s="24" t="n">
        <v>2.06</v>
      </c>
      <c r="AG6" s="7" t="n">
        <v>1.47</v>
      </c>
    </row>
    <row r="7">
      <c r="A7" t="n">
        <v>5</v>
      </c>
      <c r="B7" s="1" t="inlineStr">
        <is>
          <t>May</t>
        </is>
      </c>
      <c r="C7" s="24" t="n">
        <v>2.27</v>
      </c>
      <c r="D7" s="24" t="n">
        <v>3.51</v>
      </c>
      <c r="E7" s="24" t="n">
        <v>1.6</v>
      </c>
      <c r="F7" s="24" t="n">
        <v>1.67</v>
      </c>
      <c r="G7" s="24" t="n">
        <v>1.76</v>
      </c>
      <c r="H7" s="24" t="n">
        <v>2.36</v>
      </c>
      <c r="I7" s="24" t="n">
        <v>2.67</v>
      </c>
      <c r="J7" s="24" t="n">
        <v>2.03</v>
      </c>
      <c r="K7" s="24" t="n">
        <v>3.33</v>
      </c>
      <c r="L7" s="24" t="n">
        <v>6.63</v>
      </c>
      <c r="M7" s="24" t="n">
        <v>7</v>
      </c>
      <c r="N7" s="62" t="n">
        <v>2.89</v>
      </c>
      <c r="O7" s="24" t="n">
        <v>1.91</v>
      </c>
      <c r="P7" s="24" t="n">
        <v>2.3</v>
      </c>
      <c r="Q7" s="24" t="n">
        <v>1.48</v>
      </c>
      <c r="R7" s="24" t="n">
        <v>3.9</v>
      </c>
      <c r="S7" s="24" t="n">
        <v>3.67</v>
      </c>
      <c r="T7" s="24" t="n">
        <v>2.09</v>
      </c>
      <c r="U7" s="24" t="n">
        <v>2.6</v>
      </c>
      <c r="V7" s="24" t="n">
        <v>2.37</v>
      </c>
      <c r="W7" s="24" t="n">
        <v>2.21</v>
      </c>
      <c r="X7" s="24" t="n">
        <v>0.99</v>
      </c>
      <c r="Y7" s="7" t="n">
        <v>1.6</v>
      </c>
      <c r="AA7" s="1" t="inlineStr">
        <is>
          <t>May</t>
        </is>
      </c>
      <c r="AB7" s="24" t="n">
        <v>2.36</v>
      </c>
      <c r="AC7" s="24" t="n">
        <v>0.33</v>
      </c>
      <c r="AD7" s="24" t="n">
        <v>0.63</v>
      </c>
      <c r="AE7" s="24" t="n">
        <v>0.8100000000000001</v>
      </c>
      <c r="AF7" s="24" t="n">
        <v>0.58</v>
      </c>
      <c r="AG7" s="7" t="n">
        <v>0.34</v>
      </c>
    </row>
    <row r="8">
      <c r="A8" t="n">
        <v>6</v>
      </c>
      <c r="B8" s="1" t="inlineStr">
        <is>
          <t>Jun</t>
        </is>
      </c>
      <c r="C8" s="24" t="n">
        <v>0.66</v>
      </c>
      <c r="D8" s="24" t="n">
        <v>1.19</v>
      </c>
      <c r="E8" s="24" t="n">
        <v>0.4</v>
      </c>
      <c r="F8" s="24" t="n">
        <v>0.45</v>
      </c>
      <c r="G8" s="24" t="n">
        <v>0.48</v>
      </c>
      <c r="H8" s="24" t="n">
        <v>0.76</v>
      </c>
      <c r="I8" s="24" t="n">
        <v>0.85</v>
      </c>
      <c r="J8" s="24" t="n">
        <v>0.57</v>
      </c>
      <c r="K8" s="24" t="n">
        <v>1.19</v>
      </c>
      <c r="L8" s="24" t="n">
        <v>2.83</v>
      </c>
      <c r="M8" s="24" t="n">
        <v>3</v>
      </c>
      <c r="N8" s="62" t="n">
        <v>0.99</v>
      </c>
      <c r="O8" s="24" t="n">
        <v>0.41</v>
      </c>
      <c r="P8" s="24" t="n">
        <v>0.73</v>
      </c>
      <c r="Q8" s="24" t="n">
        <v>0.3</v>
      </c>
      <c r="R8" s="24" t="n">
        <v>1.36</v>
      </c>
      <c r="S8" s="24" t="n">
        <v>1.12</v>
      </c>
      <c r="T8" s="24" t="n">
        <v>0.38</v>
      </c>
      <c r="U8" s="24" t="n">
        <v>0.53</v>
      </c>
      <c r="V8" s="24" t="n">
        <v>0.67</v>
      </c>
      <c r="W8" s="24" t="n">
        <v>0.5600000000000001</v>
      </c>
      <c r="X8" s="24" t="n">
        <v>0.12</v>
      </c>
      <c r="Y8" s="7" t="n">
        <v>0.33</v>
      </c>
      <c r="AA8" s="1" t="inlineStr">
        <is>
          <t>Jun</t>
        </is>
      </c>
      <c r="AB8" s="24" t="n">
        <v>0.7</v>
      </c>
      <c r="AC8" s="24" t="n">
        <v>0.05</v>
      </c>
      <c r="AD8" s="24" t="n">
        <v>0.11</v>
      </c>
      <c r="AE8" s="24" t="n">
        <v>0.19</v>
      </c>
      <c r="AF8" s="24" t="n">
        <v>0.09</v>
      </c>
      <c r="AG8" s="7" t="n">
        <v>0.03</v>
      </c>
    </row>
    <row r="9">
      <c r="A9" t="n">
        <v>7</v>
      </c>
      <c r="B9" s="1" t="inlineStr">
        <is>
          <t>Jul</t>
        </is>
      </c>
      <c r="C9" s="24" t="n">
        <v>0.06</v>
      </c>
      <c r="D9" s="24" t="n">
        <v>0.21</v>
      </c>
      <c r="E9" s="24" t="n">
        <v>0.02</v>
      </c>
      <c r="F9" s="24" t="n">
        <v>0.02</v>
      </c>
      <c r="G9" s="24" t="n">
        <v>0.02</v>
      </c>
      <c r="H9" s="24" t="n">
        <v>0.08</v>
      </c>
      <c r="I9" s="24" t="n">
        <v>0.1</v>
      </c>
      <c r="J9" s="24" t="n">
        <v>0.05</v>
      </c>
      <c r="K9" s="24" t="n">
        <v>0.28</v>
      </c>
      <c r="L9" s="24" t="n">
        <v>0.96</v>
      </c>
      <c r="M9" s="24" t="n">
        <v>1.04</v>
      </c>
      <c r="N9" s="62" t="n">
        <v>0.17</v>
      </c>
      <c r="O9" s="24" t="n">
        <v>0</v>
      </c>
      <c r="P9" s="24" t="n">
        <v>0.09</v>
      </c>
      <c r="Q9" s="24" t="n">
        <v>0</v>
      </c>
      <c r="R9" s="24" t="n">
        <v>0.26</v>
      </c>
      <c r="S9" s="24" t="n">
        <v>0.14</v>
      </c>
      <c r="T9" s="24" t="n">
        <v>0</v>
      </c>
      <c r="U9" s="24" t="n">
        <v>0</v>
      </c>
      <c r="V9" s="24" t="n">
        <v>0.05</v>
      </c>
      <c r="W9" s="24" t="n">
        <v>0.03</v>
      </c>
      <c r="X9" s="24" t="n">
        <v>0</v>
      </c>
      <c r="Y9" s="7" t="n">
        <v>0</v>
      </c>
      <c r="AA9" s="1" t="inlineStr">
        <is>
          <t>Jul</t>
        </is>
      </c>
      <c r="AB9" s="24" t="n">
        <v>0.08</v>
      </c>
      <c r="AC9" s="24" t="n">
        <v>0</v>
      </c>
      <c r="AD9" s="24" t="n">
        <v>0</v>
      </c>
      <c r="AE9" s="24" t="n">
        <v>0</v>
      </c>
      <c r="AF9" s="24" t="n">
        <v>0</v>
      </c>
      <c r="AG9" s="7" t="n">
        <v>0</v>
      </c>
    </row>
    <row r="10">
      <c r="A10" t="n">
        <v>8</v>
      </c>
      <c r="B10" s="1" t="inlineStr">
        <is>
          <t>Aug</t>
        </is>
      </c>
      <c r="C10" s="24" t="n">
        <v>0.13</v>
      </c>
      <c r="D10" s="24" t="n">
        <v>0.35</v>
      </c>
      <c r="E10" s="24" t="n">
        <v>0.05</v>
      </c>
      <c r="F10" s="24" t="n">
        <v>0.07000000000000001</v>
      </c>
      <c r="G10" s="24" t="n">
        <v>0.05</v>
      </c>
      <c r="H10" s="24" t="n">
        <v>0.13</v>
      </c>
      <c r="I10" s="24" t="n">
        <v>0.19</v>
      </c>
      <c r="J10" s="24" t="n">
        <v>0.12</v>
      </c>
      <c r="K10" s="24" t="n">
        <v>0.45</v>
      </c>
      <c r="L10" s="24" t="n">
        <v>1.37</v>
      </c>
      <c r="M10" s="24" t="n">
        <v>1.46</v>
      </c>
      <c r="N10" s="62" t="n">
        <v>0.3</v>
      </c>
      <c r="O10" s="24" t="n">
        <v>0</v>
      </c>
      <c r="P10" s="24" t="n">
        <v>0.18</v>
      </c>
      <c r="Q10" s="24" t="n">
        <v>0</v>
      </c>
      <c r="R10" s="24" t="n">
        <v>0.43</v>
      </c>
      <c r="S10" s="24" t="n">
        <v>0.25</v>
      </c>
      <c r="T10" s="24" t="n">
        <v>0</v>
      </c>
      <c r="U10" s="24" t="n">
        <v>0.01</v>
      </c>
      <c r="V10" s="24" t="n">
        <v>0.12</v>
      </c>
      <c r="W10" s="24" t="n">
        <v>0.06</v>
      </c>
      <c r="X10" s="24" t="n">
        <v>0</v>
      </c>
      <c r="Y10" s="7" t="n">
        <v>0</v>
      </c>
      <c r="AA10" s="1" t="inlineStr">
        <is>
          <t>Aug</t>
        </is>
      </c>
      <c r="AB10" s="24" t="n">
        <v>0.16</v>
      </c>
      <c r="AC10" s="24" t="n">
        <v>0</v>
      </c>
      <c r="AD10" s="24" t="n">
        <v>0</v>
      </c>
      <c r="AE10" s="24" t="n">
        <v>0</v>
      </c>
      <c r="AF10" s="24" t="n">
        <v>0</v>
      </c>
      <c r="AG10" s="7" t="n">
        <v>0</v>
      </c>
    </row>
    <row r="11">
      <c r="A11" t="n">
        <v>9</v>
      </c>
      <c r="B11" s="1" t="inlineStr">
        <is>
          <t>Sep</t>
        </is>
      </c>
      <c r="C11" s="24" t="n">
        <v>1.17</v>
      </c>
      <c r="D11" s="24" t="n">
        <v>1.93</v>
      </c>
      <c r="E11" s="24" t="n">
        <v>0.71</v>
      </c>
      <c r="F11" s="24" t="n">
        <v>0.8100000000000001</v>
      </c>
      <c r="G11" s="24" t="n">
        <v>0.8100000000000001</v>
      </c>
      <c r="H11" s="24" t="n">
        <v>1</v>
      </c>
      <c r="I11" s="24" t="n">
        <v>1.3</v>
      </c>
      <c r="J11" s="24" t="n">
        <v>1.13</v>
      </c>
      <c r="K11" s="24" t="n">
        <v>1.91</v>
      </c>
      <c r="L11" s="24" t="n">
        <v>4.07</v>
      </c>
      <c r="M11" s="24" t="n">
        <v>4.26</v>
      </c>
      <c r="N11" s="62" t="n">
        <v>1.6</v>
      </c>
      <c r="O11" s="24" t="n">
        <v>0.68</v>
      </c>
      <c r="P11" s="24" t="n">
        <v>1.24</v>
      </c>
      <c r="Q11" s="24" t="n">
        <v>0.45</v>
      </c>
      <c r="R11" s="24" t="n">
        <v>2.14</v>
      </c>
      <c r="S11" s="24" t="n">
        <v>1.83</v>
      </c>
      <c r="T11" s="24" t="n">
        <v>0.36</v>
      </c>
      <c r="U11" s="24" t="n">
        <v>0.85</v>
      </c>
      <c r="V11" s="24" t="n">
        <v>1.18</v>
      </c>
      <c r="W11" s="24" t="n">
        <v>0.98</v>
      </c>
      <c r="X11" s="24" t="n">
        <v>0.06</v>
      </c>
      <c r="Y11" s="7" t="n">
        <v>0.51</v>
      </c>
      <c r="AA11" s="1" t="inlineStr">
        <is>
          <t>Sep</t>
        </is>
      </c>
      <c r="AB11" s="24" t="n">
        <v>1.3</v>
      </c>
      <c r="AC11" s="24" t="n">
        <v>0</v>
      </c>
      <c r="AD11" s="24" t="n">
        <v>0.01</v>
      </c>
      <c r="AE11" s="24" t="n">
        <v>0.14</v>
      </c>
      <c r="AF11" s="24" t="n">
        <v>0.06</v>
      </c>
      <c r="AG11" s="7" t="n">
        <v>0</v>
      </c>
    </row>
    <row r="12">
      <c r="A12" t="n">
        <v>10</v>
      </c>
      <c r="B12" s="1" t="inlineStr">
        <is>
          <t>Oct</t>
        </is>
      </c>
      <c r="C12" s="24" t="n">
        <v>3.33</v>
      </c>
      <c r="D12" s="24" t="n">
        <v>4.93</v>
      </c>
      <c r="E12" s="24" t="n">
        <v>2.36</v>
      </c>
      <c r="F12" s="24" t="n">
        <v>2.5</v>
      </c>
      <c r="G12" s="24" t="n">
        <v>2.63</v>
      </c>
      <c r="H12" s="24" t="n">
        <v>2.67</v>
      </c>
      <c r="I12" s="24" t="n">
        <v>3.05</v>
      </c>
      <c r="J12" s="24" t="n">
        <v>3.38</v>
      </c>
      <c r="K12" s="24" t="n">
        <v>4.55</v>
      </c>
      <c r="L12" s="24" t="n">
        <v>8.83</v>
      </c>
      <c r="M12" s="24" t="n">
        <v>9.199999999999999</v>
      </c>
      <c r="N12" s="62" t="n">
        <v>4.11</v>
      </c>
      <c r="O12" s="24" t="n">
        <v>3.01</v>
      </c>
      <c r="P12" s="24" t="n">
        <v>3.36</v>
      </c>
      <c r="Q12" s="24" t="n">
        <v>2.33</v>
      </c>
      <c r="R12" s="24" t="n">
        <v>5.41</v>
      </c>
      <c r="S12" s="24" t="n">
        <v>5.06</v>
      </c>
      <c r="T12" s="24" t="n">
        <v>3.32</v>
      </c>
      <c r="U12" s="24" t="n">
        <v>4.27</v>
      </c>
      <c r="V12" s="24" t="n">
        <v>3.47</v>
      </c>
      <c r="W12" s="24" t="n">
        <v>3.23</v>
      </c>
      <c r="X12" s="24" t="n">
        <v>1.57</v>
      </c>
      <c r="Y12" s="7" t="n">
        <v>2.51</v>
      </c>
      <c r="AA12" s="1" t="inlineStr">
        <is>
          <t>Oct</t>
        </is>
      </c>
      <c r="AB12" s="24" t="n">
        <v>3.75</v>
      </c>
      <c r="AC12" s="24" t="n">
        <v>0.22</v>
      </c>
      <c r="AD12" s="24" t="n">
        <v>0.29</v>
      </c>
      <c r="AE12" s="24" t="n">
        <v>0.7</v>
      </c>
      <c r="AF12" s="24" t="n">
        <v>1.02</v>
      </c>
      <c r="AG12" s="7" t="n">
        <v>0.48</v>
      </c>
    </row>
    <row r="13">
      <c r="A13" t="n">
        <v>11</v>
      </c>
      <c r="B13" s="1" t="inlineStr">
        <is>
          <t>Nov</t>
        </is>
      </c>
      <c r="C13" s="24" t="n">
        <v>7.63</v>
      </c>
      <c r="D13" s="24" t="n">
        <v>10.56</v>
      </c>
      <c r="E13" s="24" t="n">
        <v>6</v>
      </c>
      <c r="F13" s="24" t="n">
        <v>6.1</v>
      </c>
      <c r="G13" s="24" t="n">
        <v>6.39</v>
      </c>
      <c r="H13" s="24" t="n">
        <v>6.11</v>
      </c>
      <c r="I13" s="24" t="n">
        <v>6.38</v>
      </c>
      <c r="J13" s="24" t="n">
        <v>7.97</v>
      </c>
      <c r="K13" s="24" t="n">
        <v>9.220000000000001</v>
      </c>
      <c r="L13" s="24" t="n">
        <v>17.15</v>
      </c>
      <c r="M13" s="24" t="n">
        <v>17.88</v>
      </c>
      <c r="N13" s="62" t="n">
        <v>8.74</v>
      </c>
      <c r="O13" s="24" t="n">
        <v>8.19</v>
      </c>
      <c r="P13" s="24" t="n">
        <v>7.39</v>
      </c>
      <c r="Q13" s="24" t="n">
        <v>6.86</v>
      </c>
      <c r="R13" s="24" t="n">
        <v>11.41</v>
      </c>
      <c r="S13" s="24" t="n">
        <v>11.34</v>
      </c>
      <c r="T13" s="24" t="n">
        <v>10.95</v>
      </c>
      <c r="U13" s="24" t="n">
        <v>11.56</v>
      </c>
      <c r="V13" s="24" t="n">
        <v>8.07</v>
      </c>
      <c r="W13" s="24" t="n">
        <v>8.07</v>
      </c>
      <c r="X13" s="24" t="n">
        <v>7.13</v>
      </c>
      <c r="Y13" s="7" t="n">
        <v>7.01</v>
      </c>
      <c r="AA13" s="1" t="inlineStr">
        <is>
          <t>Nov</t>
        </is>
      </c>
      <c r="AB13" s="24" t="n">
        <v>8.890000000000001</v>
      </c>
      <c r="AC13" s="24" t="n">
        <v>0.86</v>
      </c>
      <c r="AD13" s="24" t="n">
        <v>1.02</v>
      </c>
      <c r="AE13" s="24" t="n">
        <v>2.34</v>
      </c>
      <c r="AF13" s="24" t="n">
        <v>3.66</v>
      </c>
      <c r="AG13" s="7" t="n">
        <v>3.04</v>
      </c>
    </row>
    <row r="14" ht="13.5" customHeight="1" s="158" thickBot="1">
      <c r="A14" t="n">
        <v>12</v>
      </c>
      <c r="B14" s="1" t="inlineStr">
        <is>
          <t>Dec</t>
        </is>
      </c>
      <c r="C14" s="24" t="n">
        <v>10.02</v>
      </c>
      <c r="D14" s="24" t="n">
        <v>13.59</v>
      </c>
      <c r="E14" s="24" t="n">
        <v>8.01</v>
      </c>
      <c r="F14" s="24" t="n">
        <v>7.98</v>
      </c>
      <c r="G14" s="24" t="n">
        <v>7.99</v>
      </c>
      <c r="H14" s="24" t="n">
        <v>8.199999999999999</v>
      </c>
      <c r="I14" s="24" t="n">
        <v>8.31</v>
      </c>
      <c r="J14" s="24" t="n">
        <v>10.58</v>
      </c>
      <c r="K14" s="24" t="n">
        <v>11.77</v>
      </c>
      <c r="L14" s="24" t="n">
        <v>21.41</v>
      </c>
      <c r="M14" s="24" t="n">
        <v>22.13</v>
      </c>
      <c r="N14" s="62" t="n">
        <v>11.29</v>
      </c>
      <c r="O14" s="24" t="n">
        <v>10.87</v>
      </c>
      <c r="P14" s="24" t="n">
        <v>9.67</v>
      </c>
      <c r="Q14" s="24" t="n">
        <v>9.25</v>
      </c>
      <c r="R14" s="24" t="n">
        <v>14.62</v>
      </c>
      <c r="S14" s="24" t="n">
        <v>14.51</v>
      </c>
      <c r="T14" s="24" t="n">
        <v>14.47</v>
      </c>
      <c r="U14" s="24" t="n">
        <v>14.94</v>
      </c>
      <c r="V14" s="24" t="n">
        <v>10.59</v>
      </c>
      <c r="W14" s="24" t="n">
        <v>10.6</v>
      </c>
      <c r="X14" s="24" t="n">
        <v>9.84</v>
      </c>
      <c r="Y14" s="7" t="n">
        <v>9.48</v>
      </c>
      <c r="AA14" s="1" t="inlineStr">
        <is>
          <t>Dec</t>
        </is>
      </c>
      <c r="AB14" s="24" t="n">
        <v>11.49</v>
      </c>
      <c r="AC14" s="24" t="n">
        <v>1.77</v>
      </c>
      <c r="AD14" s="24" t="n">
        <v>1.86</v>
      </c>
      <c r="AE14" s="24" t="n">
        <v>3.59</v>
      </c>
      <c r="AF14" s="24" t="n">
        <v>4.67</v>
      </c>
      <c r="AG14" s="7" t="n">
        <v>4.69</v>
      </c>
    </row>
    <row r="15" ht="13.5" customHeight="1" s="158" thickBot="1">
      <c r="B15" s="11" t="inlineStr">
        <is>
          <t>Tot</t>
        </is>
      </c>
      <c r="C15" s="12" t="n">
        <v>58</v>
      </c>
      <c r="D15" s="12" t="n">
        <v>81.36</v>
      </c>
      <c r="E15" s="12" t="n">
        <v>45.08</v>
      </c>
      <c r="F15" s="12" t="n">
        <v>45.82</v>
      </c>
      <c r="G15" s="12" t="n">
        <v>47.24</v>
      </c>
      <c r="H15" s="12" t="n">
        <v>49.47</v>
      </c>
      <c r="I15" s="12" t="n">
        <v>52.28</v>
      </c>
      <c r="J15" s="12" t="n">
        <v>58.28</v>
      </c>
      <c r="K15" s="12" t="n">
        <v>71.64</v>
      </c>
      <c r="L15" s="12" t="n">
        <v>136.12</v>
      </c>
      <c r="M15" s="12" t="n">
        <v>142.06</v>
      </c>
      <c r="N15" s="63" t="n">
        <v>67.43000000000001</v>
      </c>
      <c r="O15" s="12" t="n">
        <v>60.12</v>
      </c>
      <c r="P15" s="12" t="n">
        <v>56.62</v>
      </c>
      <c r="Q15" s="12" t="n">
        <v>50.11</v>
      </c>
      <c r="R15" s="12" t="n">
        <v>88.27</v>
      </c>
      <c r="S15" s="12" t="n">
        <v>86.33</v>
      </c>
      <c r="T15" s="12" t="n">
        <v>77.70999999999999</v>
      </c>
      <c r="U15" s="12" t="n">
        <v>82.87</v>
      </c>
      <c r="V15" s="12" t="n">
        <v>61.1</v>
      </c>
      <c r="W15" s="12" t="n">
        <v>60.31</v>
      </c>
      <c r="X15" s="12" t="n">
        <v>50.38</v>
      </c>
      <c r="Y15" s="13" t="n">
        <v>51.88</v>
      </c>
      <c r="AA15" s="11" t="inlineStr">
        <is>
          <t>Tot</t>
        </is>
      </c>
      <c r="AB15" s="12" t="n">
        <v>64.72</v>
      </c>
      <c r="AC15" s="12" t="n">
        <v>10.02</v>
      </c>
      <c r="AD15" s="12" t="n">
        <v>12.1</v>
      </c>
      <c r="AE15" s="12" t="n">
        <v>20.19</v>
      </c>
      <c r="AF15" s="12" t="n">
        <v>25.82</v>
      </c>
      <c r="AG15" s="13" t="n">
        <v>22.58</v>
      </c>
    </row>
    <row r="16" ht="13.5" customHeight="1" s="158" thickTop="1">
      <c r="A16" t="inlineStr">
        <is>
          <t>Seasonal Values:</t>
        </is>
      </c>
      <c r="B16" s="167" t="n"/>
      <c r="C16" s="24" t="n"/>
      <c r="D16" s="24" t="n"/>
      <c r="E16" s="24" t="n"/>
      <c r="F16" s="24" t="n"/>
      <c r="G16" s="24" t="n"/>
      <c r="H16" s="24" t="n"/>
      <c r="I16" s="24" t="n"/>
      <c r="J16" s="24" t="n"/>
      <c r="K16" s="24" t="n"/>
      <c r="L16" s="24" t="n"/>
      <c r="M16" s="24" t="n"/>
      <c r="N16" s="62" t="n"/>
      <c r="O16" s="24" t="n"/>
      <c r="P16" s="24" t="n"/>
      <c r="Q16" s="24" t="n"/>
      <c r="R16" s="24" t="n"/>
      <c r="S16" s="24" t="n"/>
      <c r="T16" s="24" t="n"/>
      <c r="U16" s="24" t="n"/>
      <c r="V16" s="24" t="n"/>
      <c r="W16" s="24" t="n"/>
      <c r="X16" s="24" t="n"/>
      <c r="Y16" s="24" t="n"/>
      <c r="AA16" s="80" t="inlineStr">
        <is>
          <t>Tier 2 Results</t>
        </is>
      </c>
    </row>
    <row r="17">
      <c r="B17" s="31" t="inlineStr">
        <is>
          <t>Htg_Coeff</t>
        </is>
      </c>
      <c r="C17" s="36">
        <f>C2</f>
        <v/>
      </c>
      <c r="D17" s="36">
        <f>D2</f>
        <v/>
      </c>
      <c r="E17" s="36">
        <f>E2</f>
        <v/>
      </c>
      <c r="F17" s="36">
        <f>F2</f>
        <v/>
      </c>
      <c r="G17" s="36">
        <f>G2</f>
        <v/>
      </c>
      <c r="H17" s="36">
        <f>H2</f>
        <v/>
      </c>
      <c r="I17" s="36">
        <f>I2</f>
        <v/>
      </c>
      <c r="J17" s="36">
        <f>J2</f>
        <v/>
      </c>
      <c r="K17" s="36">
        <f>K2</f>
        <v/>
      </c>
      <c r="L17" s="36">
        <f>L2</f>
        <v/>
      </c>
      <c r="M17" s="36">
        <f>M2</f>
        <v/>
      </c>
      <c r="N17" s="19">
        <f>N2</f>
        <v/>
      </c>
      <c r="O17" s="36">
        <f>O2</f>
        <v/>
      </c>
      <c r="P17" s="36">
        <f>P2</f>
        <v/>
      </c>
      <c r="Q17" s="36">
        <f>Q2</f>
        <v/>
      </c>
      <c r="R17" s="36">
        <f>R2</f>
        <v/>
      </c>
      <c r="S17" s="36">
        <f>S2</f>
        <v/>
      </c>
      <c r="T17" s="36">
        <f>T2</f>
        <v/>
      </c>
      <c r="U17" s="36">
        <f>U2</f>
        <v/>
      </c>
      <c r="V17" s="36">
        <f>V2</f>
        <v/>
      </c>
      <c r="W17" s="36">
        <f>W2</f>
        <v/>
      </c>
      <c r="X17" s="36">
        <f>X2</f>
        <v/>
      </c>
      <c r="Y17" s="36">
        <f>Y2</f>
        <v/>
      </c>
      <c r="AB17" s="36">
        <f>AB2</f>
        <v/>
      </c>
      <c r="AC17" s="36">
        <f>AC2</f>
        <v/>
      </c>
      <c r="AD17" s="36">
        <f>AD2</f>
        <v/>
      </c>
      <c r="AE17" s="36">
        <f>AE2</f>
        <v/>
      </c>
      <c r="AF17" s="36">
        <f>AF2</f>
        <v/>
      </c>
      <c r="AG17" s="36">
        <f>AG2</f>
        <v/>
      </c>
    </row>
    <row r="18">
      <c r="A18" t="n">
        <v>1</v>
      </c>
      <c r="B18" s="30">
        <f>Season_Coeff!N4</f>
        <v/>
      </c>
      <c r="C18" s="26">
        <f>IF($B18*C3&gt;0,$B18*C3,"")</f>
        <v/>
      </c>
      <c r="D18" s="26">
        <f>IF($B18*D3&gt;0,$B18*D3,"")</f>
        <v/>
      </c>
      <c r="E18" s="26">
        <f>IF($B18*E3&gt;0,$B18*E3,"")</f>
        <v/>
      </c>
      <c r="F18" s="26">
        <f>IF($B18*F3&gt;0,$B18*F3,"")</f>
        <v/>
      </c>
      <c r="G18" s="26">
        <f>IF($B18*G3&gt;0,$B18*G3,"")</f>
        <v/>
      </c>
      <c r="H18" s="26">
        <f>IF($B18*H3&gt;0,$B18*H3,"")</f>
        <v/>
      </c>
      <c r="I18" s="26">
        <f>IF($B18*I3&gt;0,$B18*I3,"")</f>
        <v/>
      </c>
      <c r="J18" s="26">
        <f>IF($B18*J3&gt;0,$B18*J3,"")</f>
        <v/>
      </c>
      <c r="K18" s="26">
        <f>IF($B18*K3&gt;0,$B18*K3,"")</f>
        <v/>
      </c>
      <c r="L18" s="26">
        <f>IF($B18*L3&gt;0,$B18*L3,"")</f>
        <v/>
      </c>
      <c r="M18" s="26">
        <f>IF($B18*M3&gt;0,$B18*M3,"")</f>
        <v/>
      </c>
      <c r="N18" s="20">
        <f>IF($B18*N3&gt;0,$B18*N3,"")</f>
        <v/>
      </c>
      <c r="O18" s="26">
        <f>IF($B18*O3&gt;0,$B18*O3,"")</f>
        <v/>
      </c>
      <c r="P18" s="26">
        <f>IF($B18*P3&gt;0,$B18*P3,"")</f>
        <v/>
      </c>
      <c r="Q18" s="26">
        <f>IF($B18*Q3&gt;0,$B18*Q3,"")</f>
        <v/>
      </c>
      <c r="R18" s="26">
        <f>IF($B18*R3&gt;0,$B18*R3,"")</f>
        <v/>
      </c>
      <c r="S18" s="26">
        <f>IF($B18*S3&gt;0,$B18*S3,"")</f>
        <v/>
      </c>
      <c r="T18" s="26">
        <f>IF($B18*T3&gt;0,$B18*T3,"")</f>
        <v/>
      </c>
      <c r="U18" s="26">
        <f>IF($B18*U3&gt;0,$B18*U3,"")</f>
        <v/>
      </c>
      <c r="V18" s="26">
        <f>IF($B18*V3&gt;0,$B18*V3,"")</f>
        <v/>
      </c>
      <c r="W18" s="26">
        <f>IF($B18*W3&gt;0,$B18*W3,"")</f>
        <v/>
      </c>
      <c r="X18" s="26">
        <f>IF($B18*X3&gt;0,$B18*X3,"")</f>
        <v/>
      </c>
      <c r="Y18" s="26">
        <f>IF($B18*Y3&gt;0,$B18*Y3,"")</f>
        <v/>
      </c>
      <c r="AB18" s="26">
        <f>IF($B18*AB3&gt;0,$B18*AB3,"")</f>
        <v/>
      </c>
      <c r="AC18" s="26">
        <f>IF($B18*AC3&gt;0,$B18*AC3,"")</f>
        <v/>
      </c>
      <c r="AD18" s="26">
        <f>IF($B18*AD3&gt;0,$B18*AD3,"")</f>
        <v/>
      </c>
      <c r="AE18" s="26">
        <f>IF($B18*AE3&gt;0,$B18*AE3,"")</f>
        <v/>
      </c>
      <c r="AF18" s="26">
        <f>IF($B18*AF3&gt;0,$B18*AF3,"")</f>
        <v/>
      </c>
      <c r="AG18" s="26">
        <f>IF($B18*AG3&gt;0,$B18*AG3,"")</f>
        <v/>
      </c>
    </row>
    <row r="19">
      <c r="A19" t="n">
        <v>2</v>
      </c>
      <c r="B19" s="30">
        <f>Season_Coeff!N5</f>
        <v/>
      </c>
      <c r="C19" s="26">
        <f>IF($B19*C4&gt;0,$B19*C4,"")</f>
        <v/>
      </c>
      <c r="D19" s="26">
        <f>IF($B19*D4&gt;0,$B19*D4,"")</f>
        <v/>
      </c>
      <c r="E19" s="26">
        <f>IF($B19*E4&gt;0,$B19*E4,"")</f>
        <v/>
      </c>
      <c r="F19" s="26">
        <f>IF($B19*F4&gt;0,$B19*F4,"")</f>
        <v/>
      </c>
      <c r="G19" s="26">
        <f>IF($B19*G4&gt;0,$B19*G4,"")</f>
        <v/>
      </c>
      <c r="H19" s="26">
        <f>IF($B19*H4&gt;0,$B19*H4,"")</f>
        <v/>
      </c>
      <c r="I19" s="26">
        <f>IF($B19*I4&gt;0,$B19*I4,"")</f>
        <v/>
      </c>
      <c r="J19" s="26">
        <f>IF($B19*J4&gt;0,$B19*J4,"")</f>
        <v/>
      </c>
      <c r="K19" s="26">
        <f>IF($B19*K4&gt;0,$B19*K4,"")</f>
        <v/>
      </c>
      <c r="L19" s="26">
        <f>IF($B19*L4&gt;0,$B19*L4,"")</f>
        <v/>
      </c>
      <c r="M19" s="26">
        <f>IF($B19*M4&gt;0,$B19*M4,"")</f>
        <v/>
      </c>
      <c r="N19" s="20">
        <f>IF($B19*N4&gt;0,$B19*N4,"")</f>
        <v/>
      </c>
      <c r="O19" s="26">
        <f>IF($B19*O4&gt;0,$B19*O4,"")</f>
        <v/>
      </c>
      <c r="P19" s="26">
        <f>IF($B19*P4&gt;0,$B19*P4,"")</f>
        <v/>
      </c>
      <c r="Q19" s="26">
        <f>IF($B19*Q4&gt;0,$B19*Q4,"")</f>
        <v/>
      </c>
      <c r="R19" s="26">
        <f>IF($B19*R4&gt;0,$B19*R4,"")</f>
        <v/>
      </c>
      <c r="S19" s="26">
        <f>IF($B19*S4&gt;0,$B19*S4,"")</f>
        <v/>
      </c>
      <c r="T19" s="26">
        <f>IF($B19*T4&gt;0,$B19*T4,"")</f>
        <v/>
      </c>
      <c r="U19" s="26">
        <f>IF($B19*U4&gt;0,$B19*U4,"")</f>
        <v/>
      </c>
      <c r="V19" s="26">
        <f>IF($B19*V4&gt;0,$B19*V4,"")</f>
        <v/>
      </c>
      <c r="W19" s="26">
        <f>IF($B19*W4&gt;0,$B19*W4,"")</f>
        <v/>
      </c>
      <c r="X19" s="26">
        <f>IF($B19*X4&gt;0,$B19*X4,"")</f>
        <v/>
      </c>
      <c r="Y19" s="26">
        <f>IF($B19*Y4&gt;0,$B19*Y4,"")</f>
        <v/>
      </c>
      <c r="AB19" s="26">
        <f>IF($B19*AB4&gt;0,$B19*AB4,"")</f>
        <v/>
      </c>
      <c r="AC19" s="26">
        <f>IF($B19*AC4&gt;0,$B19*AC4,"")</f>
        <v/>
      </c>
      <c r="AD19" s="26">
        <f>IF($B19*AD4&gt;0,$B19*AD4,"")</f>
        <v/>
      </c>
      <c r="AE19" s="26">
        <f>IF($B19*AE4&gt;0,$B19*AE4,"")</f>
        <v/>
      </c>
      <c r="AF19" s="26">
        <f>IF($B19*AF4&gt;0,$B19*AF4,"")</f>
        <v/>
      </c>
      <c r="AG19" s="26">
        <f>IF($B19*AG4&gt;0,$B19*AG4,"")</f>
        <v/>
      </c>
    </row>
    <row r="20">
      <c r="A20" t="n">
        <v>3</v>
      </c>
      <c r="B20" s="30">
        <f>Season_Coeff!N6</f>
        <v/>
      </c>
      <c r="C20" s="26">
        <f>IF($B20*C5&gt;0,$B20*C5,"")</f>
        <v/>
      </c>
      <c r="D20" s="26">
        <f>IF($B20*D5&gt;0,$B20*D5,"")</f>
        <v/>
      </c>
      <c r="E20" s="26">
        <f>IF($B20*E5&gt;0,$B20*E5,"")</f>
        <v/>
      </c>
      <c r="F20" s="26">
        <f>IF($B20*F5&gt;0,$B20*F5,"")</f>
        <v/>
      </c>
      <c r="G20" s="26">
        <f>IF($B20*G5&gt;0,$B20*G5,"")</f>
        <v/>
      </c>
      <c r="H20" s="26">
        <f>IF($B20*H5&gt;0,$B20*H5,"")</f>
        <v/>
      </c>
      <c r="I20" s="26">
        <f>IF($B20*I5&gt;0,$B20*I5,"")</f>
        <v/>
      </c>
      <c r="J20" s="26">
        <f>IF($B20*J5&gt;0,$B20*J5,"")</f>
        <v/>
      </c>
      <c r="K20" s="26">
        <f>IF($B20*K5&gt;0,$B20*K5,"")</f>
        <v/>
      </c>
      <c r="L20" s="26">
        <f>IF($B20*L5&gt;0,$B20*L5,"")</f>
        <v/>
      </c>
      <c r="M20" s="26">
        <f>IF($B20*M5&gt;0,$B20*M5,"")</f>
        <v/>
      </c>
      <c r="N20" s="20">
        <f>IF($B20*N5&gt;0,$B20*N5,"")</f>
        <v/>
      </c>
      <c r="O20" s="26">
        <f>IF($B20*O5&gt;0,$B20*O5,"")</f>
        <v/>
      </c>
      <c r="P20" s="26">
        <f>IF($B20*P5&gt;0,$B20*P5,"")</f>
        <v/>
      </c>
      <c r="Q20" s="26">
        <f>IF($B20*Q5&gt;0,$B20*Q5,"")</f>
        <v/>
      </c>
      <c r="R20" s="26">
        <f>IF($B20*R5&gt;0,$B20*R5,"")</f>
        <v/>
      </c>
      <c r="S20" s="26">
        <f>IF($B20*S5&gt;0,$B20*S5,"")</f>
        <v/>
      </c>
      <c r="T20" s="26">
        <f>IF($B20*T5&gt;0,$B20*T5,"")</f>
        <v/>
      </c>
      <c r="U20" s="26">
        <f>IF($B20*U5&gt;0,$B20*U5,"")</f>
        <v/>
      </c>
      <c r="V20" s="26">
        <f>IF($B20*V5&gt;0,$B20*V5,"")</f>
        <v/>
      </c>
      <c r="W20" s="26">
        <f>IF($B20*W5&gt;0,$B20*W5,"")</f>
        <v/>
      </c>
      <c r="X20" s="26">
        <f>IF($B20*X5&gt;0,$B20*X5,"")</f>
        <v/>
      </c>
      <c r="Y20" s="26">
        <f>IF($B20*Y5&gt;0,$B20*Y5,"")</f>
        <v/>
      </c>
      <c r="AB20" s="26">
        <f>IF($B20*AB5&gt;0,$B20*AB5,"")</f>
        <v/>
      </c>
      <c r="AC20" s="26">
        <f>IF($B20*AC5&gt;0,$B20*AC5,"")</f>
        <v/>
      </c>
      <c r="AD20" s="26">
        <f>IF($B20*AD5&gt;0,$B20*AD5,"")</f>
        <v/>
      </c>
      <c r="AE20" s="26">
        <f>IF($B20*AE5&gt;0,$B20*AE5,"")</f>
        <v/>
      </c>
      <c r="AF20" s="26">
        <f>IF($B20*AF5&gt;0,$B20*AF5,"")</f>
        <v/>
      </c>
      <c r="AG20" s="26">
        <f>IF($B20*AG5&gt;0,$B20*AG5,"")</f>
        <v/>
      </c>
    </row>
    <row r="21">
      <c r="A21" t="n">
        <v>4</v>
      </c>
      <c r="B21" s="30">
        <f>Season_Coeff!N7</f>
        <v/>
      </c>
      <c r="C21" s="26">
        <f>IF($B21*C6&gt;0,$B21*C6,"")</f>
        <v/>
      </c>
      <c r="D21" s="26">
        <f>IF($B21*D6&gt;0,$B21*D6,"")</f>
        <v/>
      </c>
      <c r="E21" s="26">
        <f>IF($B21*E6&gt;0,$B21*E6,"")</f>
        <v/>
      </c>
      <c r="F21" s="26">
        <f>IF($B21*F6&gt;0,$B21*F6,"")</f>
        <v/>
      </c>
      <c r="G21" s="26">
        <f>IF($B21*G6&gt;0,$B21*G6,"")</f>
        <v/>
      </c>
      <c r="H21" s="26">
        <f>IF($B21*H6&gt;0,$B21*H6,"")</f>
        <v/>
      </c>
      <c r="I21" s="26">
        <f>IF($B21*I6&gt;0,$B21*I6,"")</f>
        <v/>
      </c>
      <c r="J21" s="26">
        <f>IF($B21*J6&gt;0,$B21*J6,"")</f>
        <v/>
      </c>
      <c r="K21" s="26">
        <f>IF($B21*K6&gt;0,$B21*K6,"")</f>
        <v/>
      </c>
      <c r="L21" s="26">
        <f>IF($B21*L6&gt;0,$B21*L6,"")</f>
        <v/>
      </c>
      <c r="M21" s="26">
        <f>IF($B21*M6&gt;0,$B21*M6,"")</f>
        <v/>
      </c>
      <c r="N21" s="20">
        <f>IF($B21*N6&gt;0,$B21*N6,"")</f>
        <v/>
      </c>
      <c r="O21" s="26">
        <f>IF($B21*O6&gt;0,$B21*O6,"")</f>
        <v/>
      </c>
      <c r="P21" s="26">
        <f>IF($B21*P6&gt;0,$B21*P6,"")</f>
        <v/>
      </c>
      <c r="Q21" s="26">
        <f>IF($B21*Q6&gt;0,$B21*Q6,"")</f>
        <v/>
      </c>
      <c r="R21" s="26">
        <f>IF($B21*R6&gt;0,$B21*R6,"")</f>
        <v/>
      </c>
      <c r="S21" s="26">
        <f>IF($B21*S6&gt;0,$B21*S6,"")</f>
        <v/>
      </c>
      <c r="T21" s="26">
        <f>IF($B21*T6&gt;0,$B21*T6,"")</f>
        <v/>
      </c>
      <c r="U21" s="26">
        <f>IF($B21*U6&gt;0,$B21*U6,"")</f>
        <v/>
      </c>
      <c r="V21" s="26">
        <f>IF($B21*V6&gt;0,$B21*V6,"")</f>
        <v/>
      </c>
      <c r="W21" s="26">
        <f>IF($B21*W6&gt;0,$B21*W6,"")</f>
        <v/>
      </c>
      <c r="X21" s="26">
        <f>IF($B21*X6&gt;0,$B21*X6,"")</f>
        <v/>
      </c>
      <c r="Y21" s="26">
        <f>IF($B21*Y6&gt;0,$B21*Y6,"")</f>
        <v/>
      </c>
      <c r="AB21" s="26">
        <f>IF($B21*AB6&gt;0,$B21*AB6,"")</f>
        <v/>
      </c>
      <c r="AC21" s="26">
        <f>IF($B21*AC6&gt;0,$B21*AC6,"")</f>
        <v/>
      </c>
      <c r="AD21" s="26">
        <f>IF($B21*AD6&gt;0,$B21*AD6,"")</f>
        <v/>
      </c>
      <c r="AE21" s="26">
        <f>IF($B21*AE6&gt;0,$B21*AE6,"")</f>
        <v/>
      </c>
      <c r="AF21" s="26">
        <f>IF($B21*AF6&gt;0,$B21*AF6,"")</f>
        <v/>
      </c>
      <c r="AG21" s="26">
        <f>IF($B21*AG6&gt;0,$B21*AG6,"")</f>
        <v/>
      </c>
    </row>
    <row r="22">
      <c r="A22" t="n">
        <v>5</v>
      </c>
      <c r="B22" s="30">
        <f>Season_Coeff!N8</f>
        <v/>
      </c>
      <c r="C22" s="26">
        <f>IF($B22*C7&gt;0,$B22*C7,"")</f>
        <v/>
      </c>
      <c r="D22" s="26">
        <f>IF($B22*D7&gt;0,$B22*D7,"")</f>
        <v/>
      </c>
      <c r="E22" s="26">
        <f>IF($B22*E7&gt;0,$B22*E7,"")</f>
        <v/>
      </c>
      <c r="F22" s="26">
        <f>IF($B22*F7&gt;0,$B22*F7,"")</f>
        <v/>
      </c>
      <c r="G22" s="26">
        <f>IF($B22*G7&gt;0,$B22*G7,"")</f>
        <v/>
      </c>
      <c r="H22" s="26">
        <f>IF($B22*H7&gt;0,$B22*H7,"")</f>
        <v/>
      </c>
      <c r="I22" s="26">
        <f>IF($B22*I7&gt;0,$B22*I7,"")</f>
        <v/>
      </c>
      <c r="J22" s="26">
        <f>IF($B22*J7&gt;0,$B22*J7,"")</f>
        <v/>
      </c>
      <c r="K22" s="26">
        <f>IF($B22*K7&gt;0,$B22*K7,"")</f>
        <v/>
      </c>
      <c r="L22" s="26">
        <f>IF($B22*L7&gt;0,$B22*L7,"")</f>
        <v/>
      </c>
      <c r="M22" s="26">
        <f>IF($B22*M7&gt;0,$B22*M7,"")</f>
        <v/>
      </c>
      <c r="N22" s="20">
        <f>IF($B22*N7&gt;0,$B22*N7,"")</f>
        <v/>
      </c>
      <c r="O22" s="26">
        <f>IF($B22*O7&gt;0,$B22*O7,"")</f>
        <v/>
      </c>
      <c r="P22" s="26">
        <f>IF($B22*P7&gt;0,$B22*P7,"")</f>
        <v/>
      </c>
      <c r="Q22" s="26">
        <f>IF($B22*Q7&gt;0,$B22*Q7,"")</f>
        <v/>
      </c>
      <c r="R22" s="26">
        <f>IF($B22*R7&gt;0,$B22*R7,"")</f>
        <v/>
      </c>
      <c r="S22" s="26">
        <f>IF($B22*S7&gt;0,$B22*S7,"")</f>
        <v/>
      </c>
      <c r="T22" s="26">
        <f>IF($B22*T7&gt;0,$B22*T7,"")</f>
        <v/>
      </c>
      <c r="U22" s="26">
        <f>IF($B22*U7&gt;0,$B22*U7,"")</f>
        <v/>
      </c>
      <c r="V22" s="26">
        <f>IF($B22*V7&gt;0,$B22*V7,"")</f>
        <v/>
      </c>
      <c r="W22" s="26">
        <f>IF($B22*W7&gt;0,$B22*W7,"")</f>
        <v/>
      </c>
      <c r="X22" s="26">
        <f>IF($B22*X7&gt;0,$B22*X7,"")</f>
        <v/>
      </c>
      <c r="Y22" s="26">
        <f>IF($B22*Y7&gt;0,$B22*Y7,"")</f>
        <v/>
      </c>
      <c r="AB22" s="26">
        <f>IF($B22*AB7&gt;0,$B22*AB7,"")</f>
        <v/>
      </c>
      <c r="AC22" s="26">
        <f>IF($B22*AC7&gt;0,$B22*AC7,"")</f>
        <v/>
      </c>
      <c r="AD22" s="26">
        <f>IF($B22*AD7&gt;0,$B22*AD7,"")</f>
        <v/>
      </c>
      <c r="AE22" s="26">
        <f>IF($B22*AE7&gt;0,$B22*AE7,"")</f>
        <v/>
      </c>
      <c r="AF22" s="26">
        <f>IF($B22*AF7&gt;0,$B22*AF7,"")</f>
        <v/>
      </c>
      <c r="AG22" s="26">
        <f>IF($B22*AG7&gt;0,$B22*AG7,"")</f>
        <v/>
      </c>
    </row>
    <row r="23">
      <c r="A23" t="n">
        <v>6</v>
      </c>
      <c r="B23" s="30">
        <f>Season_Coeff!N9</f>
        <v/>
      </c>
      <c r="C23" s="26">
        <f>IF($B23*C8&gt;0,$B23*C8,"")</f>
        <v/>
      </c>
      <c r="D23" s="26">
        <f>IF($B23*D8&gt;0,$B23*D8,"")</f>
        <v/>
      </c>
      <c r="E23" s="26">
        <f>IF($B23*E8&gt;0,$B23*E8,"")</f>
        <v/>
      </c>
      <c r="F23" s="26">
        <f>IF($B23*F8&gt;0,$B23*F8,"")</f>
        <v/>
      </c>
      <c r="G23" s="26">
        <f>IF($B23*G8&gt;0,$B23*G8,"")</f>
        <v/>
      </c>
      <c r="H23" s="26">
        <f>IF($B23*H8&gt;0,$B23*H8,"")</f>
        <v/>
      </c>
      <c r="I23" s="26">
        <f>IF($B23*I8&gt;0,$B23*I8,"")</f>
        <v/>
      </c>
      <c r="J23" s="26">
        <f>IF($B23*J8&gt;0,$B23*J8,"")</f>
        <v/>
      </c>
      <c r="K23" s="26">
        <f>IF($B23*K8&gt;0,$B23*K8,"")</f>
        <v/>
      </c>
      <c r="L23" s="26">
        <f>IF($B23*L8&gt;0,$B23*L8,"")</f>
        <v/>
      </c>
      <c r="M23" s="26">
        <f>IF($B23*M8&gt;0,$B23*M8,"")</f>
        <v/>
      </c>
      <c r="N23" s="20">
        <f>IF($B23*N8&gt;0,$B23*N8,"")</f>
        <v/>
      </c>
      <c r="O23" s="26">
        <f>IF($B23*O8&gt;0,$B23*O8,"")</f>
        <v/>
      </c>
      <c r="P23" s="26">
        <f>IF($B23*P8&gt;0,$B23*P8,"")</f>
        <v/>
      </c>
      <c r="Q23" s="26">
        <f>IF($B23*Q8&gt;0,$B23*Q8,"")</f>
        <v/>
      </c>
      <c r="R23" s="26">
        <f>IF($B23*R8&gt;0,$B23*R8,"")</f>
        <v/>
      </c>
      <c r="S23" s="26">
        <f>IF($B23*S8&gt;0,$B23*S8,"")</f>
        <v/>
      </c>
      <c r="T23" s="26">
        <f>IF($B23*T8&gt;0,$B23*T8,"")</f>
        <v/>
      </c>
      <c r="U23" s="26">
        <f>IF($B23*U8&gt;0,$B23*U8,"")</f>
        <v/>
      </c>
      <c r="V23" s="26">
        <f>IF($B23*V8&gt;0,$B23*V8,"")</f>
        <v/>
      </c>
      <c r="W23" s="26">
        <f>IF($B23*W8&gt;0,$B23*W8,"")</f>
        <v/>
      </c>
      <c r="X23" s="26">
        <f>IF($B23*X8&gt;0,$B23*X8,"")</f>
        <v/>
      </c>
      <c r="Y23" s="26">
        <f>IF($B23*Y8&gt;0,$B23*Y8,"")</f>
        <v/>
      </c>
      <c r="AB23" s="26">
        <f>IF($B23*AB8&gt;0,$B23*AB8,"")</f>
        <v/>
      </c>
      <c r="AC23" s="26">
        <f>IF($B23*AC8&gt;0,$B23*AC8,"")</f>
        <v/>
      </c>
      <c r="AD23" s="26">
        <f>IF($B23*AD8&gt;0,$B23*AD8,"")</f>
        <v/>
      </c>
      <c r="AE23" s="26">
        <f>IF($B23*AE8&gt;0,$B23*AE8,"")</f>
        <v/>
      </c>
      <c r="AF23" s="26">
        <f>IF($B23*AF8&gt;0,$B23*AF8,"")</f>
        <v/>
      </c>
      <c r="AG23" s="26">
        <f>IF($B23*AG8&gt;0,$B23*AG8,"")</f>
        <v/>
      </c>
    </row>
    <row r="24">
      <c r="A24" t="n">
        <v>7</v>
      </c>
      <c r="B24" s="30">
        <f>Season_Coeff!N10</f>
        <v/>
      </c>
      <c r="C24" s="26">
        <f>IF($B24*C9&gt;0,$B24*C9,"")</f>
        <v/>
      </c>
      <c r="D24" s="26">
        <f>IF($B24*D9&gt;0,$B24*D9,"")</f>
        <v/>
      </c>
      <c r="E24" s="26">
        <f>IF($B24*E9&gt;0,$B24*E9,"")</f>
        <v/>
      </c>
      <c r="F24" s="26">
        <f>IF($B24*F9&gt;0,$B24*F9,"")</f>
        <v/>
      </c>
      <c r="G24" s="26">
        <f>IF($B24*G9&gt;0,$B24*G9,"")</f>
        <v/>
      </c>
      <c r="H24" s="26">
        <f>IF($B24*H9&gt;0,$B24*H9,"")</f>
        <v/>
      </c>
      <c r="I24" s="26">
        <f>IF($B24*I9&gt;0,$B24*I9,"")</f>
        <v/>
      </c>
      <c r="J24" s="26">
        <f>IF($B24*J9&gt;0,$B24*J9,"")</f>
        <v/>
      </c>
      <c r="K24" s="26">
        <f>IF($B24*K9&gt;0,$B24*K9,"")</f>
        <v/>
      </c>
      <c r="L24" s="26">
        <f>IF($B24*L9&gt;0,$B24*L9,"")</f>
        <v/>
      </c>
      <c r="M24" s="26">
        <f>IF($B24*M9&gt;0,$B24*M9,"")</f>
        <v/>
      </c>
      <c r="N24" s="20">
        <f>IF($B24*N9&gt;0,$B24*N9,"")</f>
        <v/>
      </c>
      <c r="O24" s="26">
        <f>IF($B24*O9&gt;0,$B24*O9,"")</f>
        <v/>
      </c>
      <c r="P24" s="26">
        <f>IF($B24*P9&gt;0,$B24*P9,"")</f>
        <v/>
      </c>
      <c r="Q24" s="26">
        <f>IF($B24*Q9&gt;0,$B24*Q9,"")</f>
        <v/>
      </c>
      <c r="R24" s="26">
        <f>IF($B24*R9&gt;0,$B24*R9,"")</f>
        <v/>
      </c>
      <c r="S24" s="26">
        <f>IF($B24*S9&gt;0,$B24*S9,"")</f>
        <v/>
      </c>
      <c r="T24" s="26">
        <f>IF($B24*T9&gt;0,$B24*T9,"")</f>
        <v/>
      </c>
      <c r="U24" s="26">
        <f>IF($B24*U9&gt;0,$B24*U9,"")</f>
        <v/>
      </c>
      <c r="V24" s="26">
        <f>IF($B24*V9&gt;0,$B24*V9,"")</f>
        <v/>
      </c>
      <c r="W24" s="26">
        <f>IF($B24*W9&gt;0,$B24*W9,"")</f>
        <v/>
      </c>
      <c r="X24" s="26">
        <f>IF($B24*X9&gt;0,$B24*X9,"")</f>
        <v/>
      </c>
      <c r="Y24" s="26">
        <f>IF($B24*Y9&gt;0,$B24*Y9,"")</f>
        <v/>
      </c>
      <c r="AB24" s="26">
        <f>IF($B24*AB9&gt;0,$B24*AB9,"")</f>
        <v/>
      </c>
      <c r="AC24" s="26">
        <f>IF($B24*AC9&gt;0,$B24*AC9,"")</f>
        <v/>
      </c>
      <c r="AD24" s="26">
        <f>IF($B24*AD9&gt;0,$B24*AD9,"")</f>
        <v/>
      </c>
      <c r="AE24" s="26">
        <f>IF($B24*AE9&gt;0,$B24*AE9,"")</f>
        <v/>
      </c>
      <c r="AF24" s="26">
        <f>IF($B24*AF9&gt;0,$B24*AF9,"")</f>
        <v/>
      </c>
      <c r="AG24" s="26">
        <f>IF($B24*AG9&gt;0,$B24*AG9,"")</f>
        <v/>
      </c>
    </row>
    <row r="25">
      <c r="A25" t="n">
        <v>8</v>
      </c>
      <c r="B25" s="30">
        <f>Season_Coeff!N11</f>
        <v/>
      </c>
      <c r="C25" s="26">
        <f>IF($B25*C10&gt;0,$B25*C10,"")</f>
        <v/>
      </c>
      <c r="D25" s="26">
        <f>IF($B25*D10&gt;0,$B25*D10,"")</f>
        <v/>
      </c>
      <c r="E25" s="26">
        <f>IF($B25*E10&gt;0,$B25*E10,"")</f>
        <v/>
      </c>
      <c r="F25" s="26">
        <f>IF($B25*F10&gt;0,$B25*F10,"")</f>
        <v/>
      </c>
      <c r="G25" s="26">
        <f>IF($B25*G10&gt;0,$B25*G10,"")</f>
        <v/>
      </c>
      <c r="H25" s="26">
        <f>IF($B25*H10&gt;0,$B25*H10,"")</f>
        <v/>
      </c>
      <c r="I25" s="26">
        <f>IF($B25*I10&gt;0,$B25*I10,"")</f>
        <v/>
      </c>
      <c r="J25" s="26">
        <f>IF($B25*J10&gt;0,$B25*J10,"")</f>
        <v/>
      </c>
      <c r="K25" s="26">
        <f>IF($B25*K10&gt;0,$B25*K10,"")</f>
        <v/>
      </c>
      <c r="L25" s="26">
        <f>IF($B25*L10&gt;0,$B25*L10,"")</f>
        <v/>
      </c>
      <c r="M25" s="26">
        <f>IF($B25*M10&gt;0,$B25*M10,"")</f>
        <v/>
      </c>
      <c r="N25" s="20">
        <f>IF($B25*N10&gt;0,$B25*N10,"")</f>
        <v/>
      </c>
      <c r="O25" s="26">
        <f>IF($B25*O10&gt;0,$B25*O10,"")</f>
        <v/>
      </c>
      <c r="P25" s="26">
        <f>IF($B25*P10&gt;0,$B25*P10,"")</f>
        <v/>
      </c>
      <c r="Q25" s="26">
        <f>IF($B25*Q10&gt;0,$B25*Q10,"")</f>
        <v/>
      </c>
      <c r="R25" s="26">
        <f>IF($B25*R10&gt;0,$B25*R10,"")</f>
        <v/>
      </c>
      <c r="S25" s="26">
        <f>IF($B25*S10&gt;0,$B25*S10,"")</f>
        <v/>
      </c>
      <c r="T25" s="26">
        <f>IF($B25*T10&gt;0,$B25*T10,"")</f>
        <v/>
      </c>
      <c r="U25" s="26">
        <f>IF($B25*U10&gt;0,$B25*U10,"")</f>
        <v/>
      </c>
      <c r="V25" s="26">
        <f>IF($B25*V10&gt;0,$B25*V10,"")</f>
        <v/>
      </c>
      <c r="W25" s="26">
        <f>IF($B25*W10&gt;0,$B25*W10,"")</f>
        <v/>
      </c>
      <c r="X25" s="26">
        <f>IF($B25*X10&gt;0,$B25*X10,"")</f>
        <v/>
      </c>
      <c r="Y25" s="26">
        <f>IF($B25*Y10&gt;0,$B25*Y10,"")</f>
        <v/>
      </c>
      <c r="AB25" s="26">
        <f>IF($B25*AB10&gt;0,$B25*AB10,"")</f>
        <v/>
      </c>
      <c r="AC25" s="26">
        <f>IF($B25*AC10&gt;0,$B25*AC10,"")</f>
        <v/>
      </c>
      <c r="AD25" s="26">
        <f>IF($B25*AD10&gt;0,$B25*AD10,"")</f>
        <v/>
      </c>
      <c r="AE25" s="26">
        <f>IF($B25*AE10&gt;0,$B25*AE10,"")</f>
        <v/>
      </c>
      <c r="AF25" s="26">
        <f>IF($B25*AF10&gt;0,$B25*AF10,"")</f>
        <v/>
      </c>
      <c r="AG25" s="26">
        <f>IF($B25*AG10&gt;0,$B25*AG10,"")</f>
        <v/>
      </c>
    </row>
    <row r="26">
      <c r="A26" t="n">
        <v>9</v>
      </c>
      <c r="B26" s="30">
        <f>Season_Coeff!N12</f>
        <v/>
      </c>
      <c r="C26" s="26">
        <f>IF($B26*C11&gt;0,$B26*C11,"")</f>
        <v/>
      </c>
      <c r="D26" s="26">
        <f>IF($B26*D11&gt;0,$B26*D11,"")</f>
        <v/>
      </c>
      <c r="E26" s="26">
        <f>IF($B26*E11&gt;0,$B26*E11,"")</f>
        <v/>
      </c>
      <c r="F26" s="26">
        <f>IF($B26*F11&gt;0,$B26*F11,"")</f>
        <v/>
      </c>
      <c r="G26" s="26">
        <f>IF($B26*G11&gt;0,$B26*G11,"")</f>
        <v/>
      </c>
      <c r="H26" s="26">
        <f>IF($B26*H11&gt;0,$B26*H11,"")</f>
        <v/>
      </c>
      <c r="I26" s="26">
        <f>IF($B26*I11&gt;0,$B26*I11,"")</f>
        <v/>
      </c>
      <c r="J26" s="26">
        <f>IF($B26*J11&gt;0,$B26*J11,"")</f>
        <v/>
      </c>
      <c r="K26" s="26">
        <f>IF($B26*K11&gt;0,$B26*K11,"")</f>
        <v/>
      </c>
      <c r="L26" s="26">
        <f>IF($B26*L11&gt;0,$B26*L11,"")</f>
        <v/>
      </c>
      <c r="M26" s="26">
        <f>IF($B26*M11&gt;0,$B26*M11,"")</f>
        <v/>
      </c>
      <c r="N26" s="20">
        <f>IF($B26*N11&gt;0,$B26*N11,"")</f>
        <v/>
      </c>
      <c r="O26" s="26">
        <f>IF($B26*O11&gt;0,$B26*O11,"")</f>
        <v/>
      </c>
      <c r="P26" s="26">
        <f>IF($B26*P11&gt;0,$B26*P11,"")</f>
        <v/>
      </c>
      <c r="Q26" s="26">
        <f>IF($B26*Q11&gt;0,$B26*Q11,"")</f>
        <v/>
      </c>
      <c r="R26" s="26">
        <f>IF($B26*R11&gt;0,$B26*R11,"")</f>
        <v/>
      </c>
      <c r="S26" s="26">
        <f>IF($B26*S11&gt;0,$B26*S11,"")</f>
        <v/>
      </c>
      <c r="T26" s="26">
        <f>IF($B26*T11&gt;0,$B26*T11,"")</f>
        <v/>
      </c>
      <c r="U26" s="26">
        <f>IF($B26*U11&gt;0,$B26*U11,"")</f>
        <v/>
      </c>
      <c r="V26" s="26">
        <f>IF($B26*V11&gt;0,$B26*V11,"")</f>
        <v/>
      </c>
      <c r="W26" s="26">
        <f>IF($B26*W11&gt;0,$B26*W11,"")</f>
        <v/>
      </c>
      <c r="X26" s="26">
        <f>IF($B26*X11&gt;0,$B26*X11,"")</f>
        <v/>
      </c>
      <c r="Y26" s="26">
        <f>IF($B26*Y11&gt;0,$B26*Y11,"")</f>
        <v/>
      </c>
      <c r="AB26" s="26">
        <f>IF($B26*AB11&gt;0,$B26*AB11,"")</f>
        <v/>
      </c>
      <c r="AC26" s="26">
        <f>IF($B26*AC11&gt;0,$B26*AC11,"")</f>
        <v/>
      </c>
      <c r="AD26" s="26">
        <f>IF($B26*AD11&gt;0,$B26*AD11,"")</f>
        <v/>
      </c>
      <c r="AE26" s="26">
        <f>IF($B26*AE11&gt;0,$B26*AE11,"")</f>
        <v/>
      </c>
      <c r="AF26" s="26">
        <f>IF($B26*AF11&gt;0,$B26*AF11,"")</f>
        <v/>
      </c>
      <c r="AG26" s="26">
        <f>IF($B26*AG11&gt;0,$B26*AG11,"")</f>
        <v/>
      </c>
    </row>
    <row r="27">
      <c r="A27" t="n">
        <v>10</v>
      </c>
      <c r="B27" s="30">
        <f>Season_Coeff!N13</f>
        <v/>
      </c>
      <c r="C27" s="26">
        <f>IF($B27*C12&gt;0,$B27*C12,"")</f>
        <v/>
      </c>
      <c r="D27" s="26">
        <f>IF($B27*D12&gt;0,$B27*D12,"")</f>
        <v/>
      </c>
      <c r="E27" s="26">
        <f>IF($B27*E12&gt;0,$B27*E12,"")</f>
        <v/>
      </c>
      <c r="F27" s="26">
        <f>IF($B27*F12&gt;0,$B27*F12,"")</f>
        <v/>
      </c>
      <c r="G27" s="26">
        <f>IF($B27*G12&gt;0,$B27*G12,"")</f>
        <v/>
      </c>
      <c r="H27" s="26">
        <f>IF($B27*H12&gt;0,$B27*H12,"")</f>
        <v/>
      </c>
      <c r="I27" s="26">
        <f>IF($B27*I12&gt;0,$B27*I12,"")</f>
        <v/>
      </c>
      <c r="J27" s="26">
        <f>IF($B27*J12&gt;0,$B27*J12,"")</f>
        <v/>
      </c>
      <c r="K27" s="26">
        <f>IF($B27*K12&gt;0,$B27*K12,"")</f>
        <v/>
      </c>
      <c r="L27" s="26">
        <f>IF($B27*L12&gt;0,$B27*L12,"")</f>
        <v/>
      </c>
      <c r="M27" s="26">
        <f>IF($B27*M12&gt;0,$B27*M12,"")</f>
        <v/>
      </c>
      <c r="N27" s="20">
        <f>IF($B27*N12&gt;0,$B27*N12,"")</f>
        <v/>
      </c>
      <c r="O27" s="26">
        <f>IF($B27*O12&gt;0,$B27*O12,"")</f>
        <v/>
      </c>
      <c r="P27" s="26">
        <f>IF($B27*P12&gt;0,$B27*P12,"")</f>
        <v/>
      </c>
      <c r="Q27" s="26">
        <f>IF($B27*Q12&gt;0,$B27*Q12,"")</f>
        <v/>
      </c>
      <c r="R27" s="26">
        <f>IF($B27*R12&gt;0,$B27*R12,"")</f>
        <v/>
      </c>
      <c r="S27" s="26">
        <f>IF($B27*S12&gt;0,$B27*S12,"")</f>
        <v/>
      </c>
      <c r="T27" s="26">
        <f>IF($B27*T12&gt;0,$B27*T12,"")</f>
        <v/>
      </c>
      <c r="U27" s="26">
        <f>IF($B27*U12&gt;0,$B27*U12,"")</f>
        <v/>
      </c>
      <c r="V27" s="26">
        <f>IF($B27*V12&gt;0,$B27*V12,"")</f>
        <v/>
      </c>
      <c r="W27" s="26">
        <f>IF($B27*W12&gt;0,$B27*W12,"")</f>
        <v/>
      </c>
      <c r="X27" s="26">
        <f>IF($B27*X12&gt;0,$B27*X12,"")</f>
        <v/>
      </c>
      <c r="Y27" s="26">
        <f>IF($B27*Y12&gt;0,$B27*Y12,"")</f>
        <v/>
      </c>
      <c r="AB27" s="26">
        <f>IF($B27*AB12&gt;0,$B27*AB12,"")</f>
        <v/>
      </c>
      <c r="AC27" s="26">
        <f>IF($B27*AC12&gt;0,$B27*AC12,"")</f>
        <v/>
      </c>
      <c r="AD27" s="26">
        <f>IF($B27*AD12&gt;0,$B27*AD12,"")</f>
        <v/>
      </c>
      <c r="AE27" s="26">
        <f>IF($B27*AE12&gt;0,$B27*AE12,"")</f>
        <v/>
      </c>
      <c r="AF27" s="26">
        <f>IF($B27*AF12&gt;0,$B27*AF12,"")</f>
        <v/>
      </c>
      <c r="AG27" s="26">
        <f>IF($B27*AG12&gt;0,$B27*AG12,"")</f>
        <v/>
      </c>
    </row>
    <row r="28">
      <c r="A28" t="n">
        <v>11</v>
      </c>
      <c r="B28" s="30">
        <f>Season_Coeff!N14</f>
        <v/>
      </c>
      <c r="C28" s="26">
        <f>IF($B28*C13&gt;0,$B28*C13,"")</f>
        <v/>
      </c>
      <c r="D28" s="26">
        <f>IF($B28*D13&gt;0,$B28*D13,"")</f>
        <v/>
      </c>
      <c r="E28" s="26">
        <f>IF($B28*E13&gt;0,$B28*E13,"")</f>
        <v/>
      </c>
      <c r="F28" s="26">
        <f>IF($B28*F13&gt;0,$B28*F13,"")</f>
        <v/>
      </c>
      <c r="G28" s="26">
        <f>IF($B28*G13&gt;0,$B28*G13,"")</f>
        <v/>
      </c>
      <c r="H28" s="26">
        <f>IF($B28*H13&gt;0,$B28*H13,"")</f>
        <v/>
      </c>
      <c r="I28" s="26">
        <f>IF($B28*I13&gt;0,$B28*I13,"")</f>
        <v/>
      </c>
      <c r="J28" s="26">
        <f>IF($B28*J13&gt;0,$B28*J13,"")</f>
        <v/>
      </c>
      <c r="K28" s="26">
        <f>IF($B28*K13&gt;0,$B28*K13,"")</f>
        <v/>
      </c>
      <c r="L28" s="26">
        <f>IF($B28*L13&gt;0,$B28*L13,"")</f>
        <v/>
      </c>
      <c r="M28" s="26">
        <f>IF($B28*M13&gt;0,$B28*M13,"")</f>
        <v/>
      </c>
      <c r="N28" s="20">
        <f>IF($B28*N13&gt;0,$B28*N13,"")</f>
        <v/>
      </c>
      <c r="O28" s="26">
        <f>IF($B28*O13&gt;0,$B28*O13,"")</f>
        <v/>
      </c>
      <c r="P28" s="26">
        <f>IF($B28*P13&gt;0,$B28*P13,"")</f>
        <v/>
      </c>
      <c r="Q28" s="26">
        <f>IF($B28*Q13&gt;0,$B28*Q13,"")</f>
        <v/>
      </c>
      <c r="R28" s="26">
        <f>IF($B28*R13&gt;0,$B28*R13,"")</f>
        <v/>
      </c>
      <c r="S28" s="26">
        <f>IF($B28*S13&gt;0,$B28*S13,"")</f>
        <v/>
      </c>
      <c r="T28" s="26">
        <f>IF($B28*T13&gt;0,$B28*T13,"")</f>
        <v/>
      </c>
      <c r="U28" s="26">
        <f>IF($B28*U13&gt;0,$B28*U13,"")</f>
        <v/>
      </c>
      <c r="V28" s="26">
        <f>IF($B28*V13&gt;0,$B28*V13,"")</f>
        <v/>
      </c>
      <c r="W28" s="26">
        <f>IF($B28*W13&gt;0,$B28*W13,"")</f>
        <v/>
      </c>
      <c r="X28" s="26">
        <f>IF($B28*X13&gt;0,$B28*X13,"")</f>
        <v/>
      </c>
      <c r="Y28" s="26">
        <f>IF($B28*Y13&gt;0,$B28*Y13,"")</f>
        <v/>
      </c>
      <c r="AB28" s="26">
        <f>IF($B28*AB13&gt;0,$B28*AB13,"")</f>
        <v/>
      </c>
      <c r="AC28" s="26">
        <f>IF($B28*AC13&gt;0,$B28*AC13,"")</f>
        <v/>
      </c>
      <c r="AD28" s="26">
        <f>IF($B28*AD13&gt;0,$B28*AD13,"")</f>
        <v/>
      </c>
      <c r="AE28" s="26">
        <f>IF($B28*AE13&gt;0,$B28*AE13,"")</f>
        <v/>
      </c>
      <c r="AF28" s="26">
        <f>IF($B28*AF13&gt;0,$B28*AF13,"")</f>
        <v/>
      </c>
      <c r="AG28" s="26">
        <f>IF($B28*AG13&gt;0,$B28*AG13,"")</f>
        <v/>
      </c>
    </row>
    <row r="29">
      <c r="A29" t="n">
        <v>12</v>
      </c>
      <c r="B29" s="30">
        <f>Season_Coeff!N15</f>
        <v/>
      </c>
      <c r="C29" s="26">
        <f>IF($B29*C14&gt;0,$B29*C14,"")</f>
        <v/>
      </c>
      <c r="D29" s="26">
        <f>IF($B29*D14&gt;0,$B29*D14,"")</f>
        <v/>
      </c>
      <c r="E29" s="26">
        <f>IF($B29*E14&gt;0,$B29*E14,"")</f>
        <v/>
      </c>
      <c r="F29" s="26">
        <f>IF($B29*F14&gt;0,$B29*F14,"")</f>
        <v/>
      </c>
      <c r="G29" s="26">
        <f>IF($B29*G14&gt;0,$B29*G14,"")</f>
        <v/>
      </c>
      <c r="H29" s="26">
        <f>IF($B29*H14&gt;0,$B29*H14,"")</f>
        <v/>
      </c>
      <c r="I29" s="26">
        <f>IF($B29*I14&gt;0,$B29*I14,"")</f>
        <v/>
      </c>
      <c r="J29" s="26">
        <f>IF($B29*J14&gt;0,$B29*J14,"")</f>
        <v/>
      </c>
      <c r="K29" s="26">
        <f>IF($B29*K14&gt;0,$B29*K14,"")</f>
        <v/>
      </c>
      <c r="L29" s="26">
        <f>IF($B29*L14&gt;0,$B29*L14,"")</f>
        <v/>
      </c>
      <c r="M29" s="26">
        <f>IF($B29*M14&gt;0,$B29*M14,"")</f>
        <v/>
      </c>
      <c r="N29" s="20">
        <f>IF($B29*N14&gt;0,$B29*N14,"")</f>
        <v/>
      </c>
      <c r="O29" s="26">
        <f>IF($B29*O14&gt;0,$B29*O14,"")</f>
        <v/>
      </c>
      <c r="P29" s="26">
        <f>IF($B29*P14&gt;0,$B29*P14,"")</f>
        <v/>
      </c>
      <c r="Q29" s="26">
        <f>IF($B29*Q14&gt;0,$B29*Q14,"")</f>
        <v/>
      </c>
      <c r="R29" s="26">
        <f>IF($B29*R14&gt;0,$B29*R14,"")</f>
        <v/>
      </c>
      <c r="S29" s="26">
        <f>IF($B29*S14&gt;0,$B29*S14,"")</f>
        <v/>
      </c>
      <c r="T29" s="26">
        <f>IF($B29*T14&gt;0,$B29*T14,"")</f>
        <v/>
      </c>
      <c r="U29" s="26">
        <f>IF($B29*U14&gt;0,$B29*U14,"")</f>
        <v/>
      </c>
      <c r="V29" s="26">
        <f>IF($B29*V14&gt;0,$B29*V14,"")</f>
        <v/>
      </c>
      <c r="W29" s="26">
        <f>IF($B29*W14&gt;0,$B29*W14,"")</f>
        <v/>
      </c>
      <c r="X29" s="26">
        <f>IF($B29*X14&gt;0,$B29*X14,"")</f>
        <v/>
      </c>
      <c r="Y29" s="26">
        <f>IF($B29*Y14&gt;0,$B29*Y14,"")</f>
        <v/>
      </c>
      <c r="AB29" s="26">
        <f>IF($B29*AB14&gt;0,$B29*AB14,"")</f>
        <v/>
      </c>
      <c r="AC29" s="26">
        <f>IF($B29*AC14&gt;0,$B29*AC14,"")</f>
        <v/>
      </c>
      <c r="AD29" s="26">
        <f>IF($B29*AD14&gt;0,$B29*AD14,"")</f>
        <v/>
      </c>
      <c r="AE29" s="26">
        <f>IF($B29*AE14&gt;0,$B29*AE14,"")</f>
        <v/>
      </c>
      <c r="AF29" s="26">
        <f>IF($B29*AF14&gt;0,$B29*AF14,"")</f>
        <v/>
      </c>
      <c r="AG29" s="26">
        <f>IF($B29*AG14&gt;0,$B29*AG14,"")</f>
        <v/>
      </c>
    </row>
    <row r="30">
      <c r="B30" s="33" t="inlineStr">
        <is>
          <t>Tot</t>
        </is>
      </c>
      <c r="C30" s="33">
        <f>SUM(C18:C29)</f>
        <v/>
      </c>
      <c r="D30" s="33">
        <f>SUM(D18:D29)</f>
        <v/>
      </c>
      <c r="E30" s="33">
        <f>SUM(E18:E29)</f>
        <v/>
      </c>
      <c r="F30" s="33">
        <f>SUM(F18:F29)</f>
        <v/>
      </c>
      <c r="G30" s="33">
        <f>SUM(G18:G29)</f>
        <v/>
      </c>
      <c r="H30" s="33">
        <f>SUM(H18:H29)</f>
        <v/>
      </c>
      <c r="I30" s="33">
        <f>SUM(I18:I29)</f>
        <v/>
      </c>
      <c r="J30" s="33">
        <f>SUM(J18:J29)</f>
        <v/>
      </c>
      <c r="K30" s="33">
        <f>SUM(K18:K29)</f>
        <v/>
      </c>
      <c r="L30" s="33">
        <f>SUM(L18:L29)</f>
        <v/>
      </c>
      <c r="M30" s="33">
        <f>SUM(M18:M29)</f>
        <v/>
      </c>
      <c r="N30" s="64">
        <f>SUM(N18:N29)</f>
        <v/>
      </c>
      <c r="O30" s="33">
        <f>SUM(O18:O29)</f>
        <v/>
      </c>
      <c r="P30" s="33">
        <f>SUM(P18:P29)</f>
        <v/>
      </c>
      <c r="Q30" s="33">
        <f>SUM(Q18:Q29)</f>
        <v/>
      </c>
      <c r="R30" s="33">
        <f>SUM(R18:R29)</f>
        <v/>
      </c>
      <c r="S30" s="33">
        <f>SUM(S18:S29)</f>
        <v/>
      </c>
      <c r="T30" s="33">
        <f>SUM(T18:T29)</f>
        <v/>
      </c>
      <c r="U30" s="33">
        <f>SUM(U18:U29)</f>
        <v/>
      </c>
      <c r="V30" s="33">
        <f>SUM(V18:V29)</f>
        <v/>
      </c>
      <c r="W30" s="33">
        <f>SUM(W18:W29)</f>
        <v/>
      </c>
      <c r="X30" s="33">
        <f>SUM(X18:X29)</f>
        <v/>
      </c>
      <c r="Y30" s="33">
        <f>SUM(Y18:Y29)</f>
        <v/>
      </c>
      <c r="AB30" s="33">
        <f>SUM(AB18:AB29)</f>
        <v/>
      </c>
      <c r="AC30" s="33">
        <f>SUM(AC18:AC29)</f>
        <v/>
      </c>
      <c r="AD30" s="33">
        <f>SUM(AD18:AD29)</f>
        <v/>
      </c>
      <c r="AE30" s="33">
        <f>SUM(AE18:AE29)</f>
        <v/>
      </c>
      <c r="AF30" s="33">
        <f>SUM(AF18:AF29)</f>
        <v/>
      </c>
      <c r="AG30" s="33">
        <f>SUM(AG18:AG29)</f>
        <v/>
      </c>
    </row>
  </sheetData>
  <mergeCells count="1">
    <mergeCell ref="AA1:AG1"/>
  </mergeCell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U30"/>
  <sheetViews>
    <sheetView workbookViewId="0">
      <selection activeCell="A1" sqref="A1"/>
    </sheetView>
  </sheetViews>
  <sheetFormatPr baseColWidth="8" defaultRowHeight="12.75"/>
  <cols>
    <col width="3.7109375" customWidth="1" style="158" min="1" max="1"/>
    <col width="9.85546875" customWidth="1" style="158" min="16" max="21"/>
  </cols>
  <sheetData>
    <row r="1" ht="13.5" customHeight="1" s="158" thickTop="1">
      <c r="B1" s="166" t="inlineStr">
        <is>
          <t>Table B20-15.  DOE-2.1E Monthly and Total Sensible Cooling Loads (million Btu)</t>
        </is>
      </c>
      <c r="C1" s="167" t="n"/>
      <c r="D1" s="167" t="n"/>
      <c r="E1" s="167" t="n"/>
      <c r="F1" s="167" t="n"/>
      <c r="G1" s="167" t="n"/>
      <c r="H1" s="167" t="n"/>
      <c r="I1" s="167" t="n"/>
      <c r="J1" s="167" t="n"/>
      <c r="K1" s="167" t="n"/>
      <c r="L1" s="167" t="n"/>
      <c r="M1" s="168" t="n"/>
      <c r="O1" s="183" t="inlineStr">
        <is>
          <t>Table B20-16.  DOE-2.1E Monthly and Total Sensible Cooling Loads (million Btu)</t>
        </is>
      </c>
      <c r="P1" s="181" t="n"/>
      <c r="Q1" s="181" t="n"/>
      <c r="R1" s="181" t="n"/>
      <c r="S1" s="181" t="n"/>
      <c r="T1" s="181" t="n"/>
      <c r="U1" s="182" t="n"/>
    </row>
    <row r="2" ht="13.5" customHeight="1" s="158" thickBot="1">
      <c r="B2" s="1" t="n"/>
      <c r="C2" s="24" t="inlineStr">
        <is>
          <t>L100AL</t>
        </is>
      </c>
      <c r="D2" s="24" t="inlineStr">
        <is>
          <t>L110AL</t>
        </is>
      </c>
      <c r="E2" s="24" t="inlineStr">
        <is>
          <t>L120AL</t>
        </is>
      </c>
      <c r="F2" s="24" t="inlineStr">
        <is>
          <t>L130AL</t>
        </is>
      </c>
      <c r="G2" s="24" t="inlineStr">
        <is>
          <t>L140AL</t>
        </is>
      </c>
      <c r="H2" s="24" t="inlineStr">
        <is>
          <t>L150AL</t>
        </is>
      </c>
      <c r="I2" s="24" t="inlineStr">
        <is>
          <t>L155AL</t>
        </is>
      </c>
      <c r="J2" s="24" t="inlineStr">
        <is>
          <t>L160AL</t>
        </is>
      </c>
      <c r="K2" s="24" t="inlineStr">
        <is>
          <t>L170AL</t>
        </is>
      </c>
      <c r="L2" s="24" t="inlineStr">
        <is>
          <t>L200AL</t>
        </is>
      </c>
      <c r="M2" s="7" t="inlineStr">
        <is>
          <t>L202AL</t>
        </is>
      </c>
      <c r="O2" s="71" t="n"/>
      <c r="P2" s="72" t="inlineStr">
        <is>
          <t>L165AL</t>
        </is>
      </c>
      <c r="Q2" s="72" t="inlineStr">
        <is>
          <t>P100AC</t>
        </is>
      </c>
      <c r="R2" s="72" t="inlineStr">
        <is>
          <t>P105AC</t>
        </is>
      </c>
      <c r="S2" s="72" t="inlineStr">
        <is>
          <t>P110AC</t>
        </is>
      </c>
      <c r="T2" s="72" t="inlineStr">
        <is>
          <t>P140AC</t>
        </is>
      </c>
      <c r="U2" s="73" t="inlineStr">
        <is>
          <t>P150AC</t>
        </is>
      </c>
    </row>
    <row r="3">
      <c r="A3" t="n">
        <v>1</v>
      </c>
      <c r="B3" s="8" t="inlineStr">
        <is>
          <t>Jan</t>
        </is>
      </c>
      <c r="C3" s="9" t="n">
        <v>0.24</v>
      </c>
      <c r="D3" s="9" t="n">
        <v>0.1</v>
      </c>
      <c r="E3" s="9" t="n">
        <v>0.24</v>
      </c>
      <c r="F3" s="9" t="n">
        <v>0.02</v>
      </c>
      <c r="G3" s="9" t="n">
        <v>0</v>
      </c>
      <c r="H3" s="9" t="n">
        <v>2.94</v>
      </c>
      <c r="I3" s="9" t="n">
        <v>2.5</v>
      </c>
      <c r="J3" s="9" t="n">
        <v>0.05</v>
      </c>
      <c r="K3" s="9" t="n">
        <v>0.1</v>
      </c>
      <c r="L3" s="9" t="n">
        <v>0.08</v>
      </c>
      <c r="M3" s="10" t="n">
        <v>0</v>
      </c>
      <c r="O3" s="74" t="inlineStr">
        <is>
          <t>Jan</t>
        </is>
      </c>
      <c r="P3" s="75" t="n">
        <v>0</v>
      </c>
      <c r="Q3" s="75" t="n">
        <v>1.19</v>
      </c>
      <c r="R3" s="75" t="n">
        <v>1.12</v>
      </c>
      <c r="S3" s="75" t="n">
        <v>2.8</v>
      </c>
      <c r="T3" s="75" t="n">
        <v>0</v>
      </c>
      <c r="U3" s="76" t="n">
        <v>0</v>
      </c>
    </row>
    <row r="4">
      <c r="A4" t="n">
        <v>2</v>
      </c>
      <c r="B4" s="1" t="inlineStr">
        <is>
          <t>Feb</t>
        </is>
      </c>
      <c r="C4" s="24" t="n">
        <v>0.83</v>
      </c>
      <c r="D4" s="24" t="n">
        <v>0.54</v>
      </c>
      <c r="E4" s="24" t="n">
        <v>0.83</v>
      </c>
      <c r="F4" s="24" t="n">
        <v>0.19</v>
      </c>
      <c r="G4" s="24" t="n">
        <v>0</v>
      </c>
      <c r="H4" s="24" t="n">
        <v>3.59</v>
      </c>
      <c r="I4" s="24" t="n">
        <v>2.81</v>
      </c>
      <c r="J4" s="24" t="n">
        <v>0.5</v>
      </c>
      <c r="K4" s="24" t="n">
        <v>0.49</v>
      </c>
      <c r="L4" s="24" t="n">
        <v>0.54</v>
      </c>
      <c r="M4" s="7" t="n">
        <v>0.23</v>
      </c>
      <c r="O4" s="74" t="inlineStr">
        <is>
          <t>Feb</t>
        </is>
      </c>
      <c r="P4" s="75" t="n">
        <v>0.11</v>
      </c>
      <c r="Q4" s="75" t="n">
        <v>0.47</v>
      </c>
      <c r="R4" s="75" t="n">
        <v>0.39</v>
      </c>
      <c r="S4" s="75" t="n">
        <v>2.13</v>
      </c>
      <c r="T4" s="75" t="n">
        <v>0</v>
      </c>
      <c r="U4" s="76" t="n">
        <v>0</v>
      </c>
    </row>
    <row r="5">
      <c r="A5" t="n">
        <v>3</v>
      </c>
      <c r="B5" s="1" t="inlineStr">
        <is>
          <t>Mar</t>
        </is>
      </c>
      <c r="C5" s="24" t="n">
        <v>2.24</v>
      </c>
      <c r="D5" s="24" t="n">
        <v>1.8</v>
      </c>
      <c r="E5" s="24" t="n">
        <v>2.13</v>
      </c>
      <c r="F5" s="24" t="n">
        <v>0.9</v>
      </c>
      <c r="G5" s="24" t="n">
        <v>0.13</v>
      </c>
      <c r="H5" s="24" t="n">
        <v>4.55</v>
      </c>
      <c r="I5" s="24" t="n">
        <v>3.01</v>
      </c>
      <c r="J5" s="24" t="n">
        <v>2.41</v>
      </c>
      <c r="K5" s="24" t="n">
        <v>1.56</v>
      </c>
      <c r="L5" s="24" t="n">
        <v>1.79</v>
      </c>
      <c r="M5" s="7" t="n">
        <v>0.99</v>
      </c>
      <c r="O5" s="74" t="inlineStr">
        <is>
          <t>Mar</t>
        </is>
      </c>
      <c r="P5" s="75" t="n">
        <v>1.1</v>
      </c>
      <c r="Q5" s="75" t="n">
        <v>0.21</v>
      </c>
      <c r="R5" s="75" t="n">
        <v>0.03</v>
      </c>
      <c r="S5" s="75" t="n">
        <v>1.54</v>
      </c>
      <c r="T5" s="75" t="n">
        <v>0</v>
      </c>
      <c r="U5" s="76" t="n">
        <v>0</v>
      </c>
    </row>
    <row r="6">
      <c r="A6" t="n">
        <v>4</v>
      </c>
      <c r="B6" s="1" t="inlineStr">
        <is>
          <t>Apr</t>
        </is>
      </c>
      <c r="C6" s="24" t="n">
        <v>2.98</v>
      </c>
      <c r="D6" s="24" t="n">
        <v>2.62</v>
      </c>
      <c r="E6" s="24" t="n">
        <v>2.83</v>
      </c>
      <c r="F6" s="24" t="n">
        <v>1.57</v>
      </c>
      <c r="G6" s="24" t="n">
        <v>0.54</v>
      </c>
      <c r="H6" s="24" t="n">
        <v>3.82</v>
      </c>
      <c r="I6" s="24" t="n">
        <v>2.03</v>
      </c>
      <c r="J6" s="24" t="n">
        <v>4.16</v>
      </c>
      <c r="K6" s="24" t="n">
        <v>2.15</v>
      </c>
      <c r="L6" s="24" t="n">
        <v>2.59</v>
      </c>
      <c r="M6" s="7" t="n">
        <v>1.72</v>
      </c>
      <c r="O6" s="74" t="inlineStr">
        <is>
          <t>Apr</t>
        </is>
      </c>
      <c r="P6" s="75" t="n">
        <v>2.48</v>
      </c>
      <c r="Q6" s="75" t="n">
        <v>0.43</v>
      </c>
      <c r="R6" s="75" t="n">
        <v>0.13</v>
      </c>
      <c r="S6" s="75" t="n">
        <v>1.34</v>
      </c>
      <c r="T6" s="75" t="n">
        <v>0</v>
      </c>
      <c r="U6" s="76" t="n">
        <v>0.27</v>
      </c>
    </row>
    <row r="7">
      <c r="A7" t="n">
        <v>5</v>
      </c>
      <c r="B7" s="1" t="inlineStr">
        <is>
          <t>May</t>
        </is>
      </c>
      <c r="C7" s="24" t="n">
        <v>6.5</v>
      </c>
      <c r="D7" s="24" t="n">
        <v>6.71</v>
      </c>
      <c r="E7" s="24" t="n">
        <v>6.03</v>
      </c>
      <c r="F7" s="24" t="n">
        <v>4.39</v>
      </c>
      <c r="G7" s="24" t="n">
        <v>2.55</v>
      </c>
      <c r="H7" s="24" t="n">
        <v>6.01</v>
      </c>
      <c r="I7" s="24" t="n">
        <v>4.46</v>
      </c>
      <c r="J7" s="24" t="n">
        <v>8.51</v>
      </c>
      <c r="K7" s="24" t="n">
        <v>5.13</v>
      </c>
      <c r="L7" s="24" t="n">
        <v>7.46</v>
      </c>
      <c r="M7" s="7" t="n">
        <v>6.13</v>
      </c>
      <c r="O7" s="74" t="inlineStr">
        <is>
          <t>May</t>
        </is>
      </c>
      <c r="P7" s="75" t="n">
        <v>6.39</v>
      </c>
      <c r="Q7" s="75" t="n">
        <v>0.73</v>
      </c>
      <c r="R7" s="75" t="n">
        <v>0.1</v>
      </c>
      <c r="S7" s="75" t="n">
        <v>1.56</v>
      </c>
      <c r="T7" s="75" t="n">
        <v>0</v>
      </c>
      <c r="U7" s="76" t="n">
        <v>0.8100000000000001</v>
      </c>
    </row>
    <row r="8">
      <c r="A8" t="n">
        <v>6</v>
      </c>
      <c r="B8" s="1" t="inlineStr">
        <is>
          <t>Jun</t>
        </is>
      </c>
      <c r="C8" s="24" t="n">
        <v>9.880000000000001</v>
      </c>
      <c r="D8" s="24" t="n">
        <v>10.84</v>
      </c>
      <c r="E8" s="24" t="n">
        <v>8.970000000000001</v>
      </c>
      <c r="F8" s="24" t="n">
        <v>7.26</v>
      </c>
      <c r="G8" s="24" t="n">
        <v>5.14</v>
      </c>
      <c r="H8" s="24" t="n">
        <v>8.74</v>
      </c>
      <c r="I8" s="24" t="n">
        <v>7.79</v>
      </c>
      <c r="J8" s="24" t="n">
        <v>11.98</v>
      </c>
      <c r="K8" s="24" t="n">
        <v>8.210000000000001</v>
      </c>
      <c r="L8" s="24" t="n">
        <v>12.71</v>
      </c>
      <c r="M8" s="7" t="n">
        <v>11.1</v>
      </c>
      <c r="O8" s="74" t="inlineStr">
        <is>
          <t>Jun</t>
        </is>
      </c>
      <c r="P8" s="75" t="n">
        <v>9.74</v>
      </c>
      <c r="Q8" s="75" t="n">
        <v>2.18</v>
      </c>
      <c r="R8" s="75" t="n">
        <v>1.4</v>
      </c>
      <c r="S8" s="75" t="n">
        <v>2.69</v>
      </c>
      <c r="T8" s="75" t="n">
        <v>0.44</v>
      </c>
      <c r="U8" s="76" t="n">
        <v>2.75</v>
      </c>
    </row>
    <row r="9">
      <c r="A9" t="n">
        <v>7</v>
      </c>
      <c r="B9" s="1" t="inlineStr">
        <is>
          <t>Jul</t>
        </is>
      </c>
      <c r="C9" s="24" t="n">
        <v>12.64</v>
      </c>
      <c r="D9" s="24" t="n">
        <v>14.29</v>
      </c>
      <c r="E9" s="24" t="n">
        <v>11.42</v>
      </c>
      <c r="F9" s="24" t="n">
        <v>9.49</v>
      </c>
      <c r="G9" s="24" t="n">
        <v>7.15</v>
      </c>
      <c r="H9" s="24" t="n">
        <v>11.76</v>
      </c>
      <c r="I9" s="24" t="n">
        <v>10.61</v>
      </c>
      <c r="J9" s="24" t="n">
        <v>14.52</v>
      </c>
      <c r="K9" s="24" t="n">
        <v>10.75</v>
      </c>
      <c r="L9" s="24" t="n">
        <v>17.18</v>
      </c>
      <c r="M9" s="7" t="n">
        <v>15.68</v>
      </c>
      <c r="O9" s="74" t="inlineStr">
        <is>
          <t>Jul</t>
        </is>
      </c>
      <c r="P9" s="75" t="n">
        <v>12.32</v>
      </c>
      <c r="Q9" s="75" t="n">
        <v>3.51</v>
      </c>
      <c r="R9" s="75" t="n">
        <v>2.45</v>
      </c>
      <c r="S9" s="75" t="n">
        <v>3.86</v>
      </c>
      <c r="T9" s="75" t="n">
        <v>1.09</v>
      </c>
      <c r="U9" s="76" t="n">
        <v>3.92</v>
      </c>
    </row>
    <row r="10">
      <c r="A10" t="n">
        <v>8</v>
      </c>
      <c r="B10" s="1" t="inlineStr">
        <is>
          <t>Aug</t>
        </is>
      </c>
      <c r="C10" s="24" t="n">
        <v>11.41</v>
      </c>
      <c r="D10" s="24" t="n">
        <v>12.71</v>
      </c>
      <c r="E10" s="24" t="n">
        <v>10.37</v>
      </c>
      <c r="F10" s="24" t="n">
        <v>8.470000000000001</v>
      </c>
      <c r="G10" s="24" t="n">
        <v>6.19</v>
      </c>
      <c r="H10" s="24" t="n">
        <v>11.58</v>
      </c>
      <c r="I10" s="24" t="n">
        <v>9.15</v>
      </c>
      <c r="J10" s="24" t="n">
        <v>12.92</v>
      </c>
      <c r="K10" s="24" t="n">
        <v>9.58</v>
      </c>
      <c r="L10" s="24" t="n">
        <v>15.03</v>
      </c>
      <c r="M10" s="7" t="n">
        <v>13.48</v>
      </c>
      <c r="O10" s="74" t="inlineStr">
        <is>
          <t>Aug</t>
        </is>
      </c>
      <c r="P10" s="75" t="n">
        <v>10.79</v>
      </c>
      <c r="Q10" s="75" t="n">
        <v>4.14</v>
      </c>
      <c r="R10" s="75" t="n">
        <v>2.09</v>
      </c>
      <c r="S10" s="75" t="n">
        <v>4.55</v>
      </c>
      <c r="T10" s="75" t="n">
        <v>0.91</v>
      </c>
      <c r="U10" s="76" t="n">
        <v>3.71</v>
      </c>
    </row>
    <row r="11">
      <c r="A11" t="n">
        <v>9</v>
      </c>
      <c r="B11" s="1" t="inlineStr">
        <is>
          <t>Sep</t>
        </is>
      </c>
      <c r="C11" s="24" t="n">
        <v>8.460000000000001</v>
      </c>
      <c r="D11" s="24" t="n">
        <v>9.029999999999999</v>
      </c>
      <c r="E11" s="24" t="n">
        <v>7.89</v>
      </c>
      <c r="F11" s="24" t="n">
        <v>5.91</v>
      </c>
      <c r="G11" s="24" t="n">
        <v>3.76</v>
      </c>
      <c r="H11" s="24" t="n">
        <v>10.35</v>
      </c>
      <c r="I11" s="24" t="n">
        <v>6.69</v>
      </c>
      <c r="J11" s="24" t="n">
        <v>9</v>
      </c>
      <c r="K11" s="24" t="n">
        <v>6.92</v>
      </c>
      <c r="L11" s="24" t="n">
        <v>10.2</v>
      </c>
      <c r="M11" s="7" t="n">
        <v>8.91</v>
      </c>
      <c r="O11" s="74" t="inlineStr">
        <is>
          <t>Sep</t>
        </is>
      </c>
      <c r="P11" s="75" t="n">
        <v>7.14</v>
      </c>
      <c r="Q11" s="75" t="n">
        <v>4.31</v>
      </c>
      <c r="R11" s="75" t="n">
        <v>1.91</v>
      </c>
      <c r="S11" s="75" t="n">
        <v>5.15</v>
      </c>
      <c r="T11" s="75" t="n">
        <v>0.4</v>
      </c>
      <c r="U11" s="76" t="n">
        <v>2.56</v>
      </c>
    </row>
    <row r="12">
      <c r="A12" t="n">
        <v>10</v>
      </c>
      <c r="B12" s="1" t="inlineStr">
        <is>
          <t>Oct</t>
        </is>
      </c>
      <c r="C12" s="24" t="n">
        <v>4.57</v>
      </c>
      <c r="D12" s="24" t="n">
        <v>4.47</v>
      </c>
      <c r="E12" s="24" t="n">
        <v>4.37</v>
      </c>
      <c r="F12" s="24" t="n">
        <v>2.76</v>
      </c>
      <c r="G12" s="24" t="n">
        <v>1.08</v>
      </c>
      <c r="H12" s="24" t="n">
        <v>7.73</v>
      </c>
      <c r="I12" s="24" t="n">
        <v>5.26</v>
      </c>
      <c r="J12" s="24" t="n">
        <v>4.15</v>
      </c>
      <c r="K12" s="24" t="n">
        <v>3.58</v>
      </c>
      <c r="L12" s="24" t="n">
        <v>4.79</v>
      </c>
      <c r="M12" s="7" t="n">
        <v>3.67</v>
      </c>
      <c r="O12" s="74" t="inlineStr">
        <is>
          <t>Oct</t>
        </is>
      </c>
      <c r="P12" s="75" t="n">
        <v>2.66</v>
      </c>
      <c r="Q12" s="75" t="n">
        <v>3.94</v>
      </c>
      <c r="R12" s="75" t="n">
        <v>2.4</v>
      </c>
      <c r="S12" s="75" t="n">
        <v>5.31</v>
      </c>
      <c r="T12" s="75" t="n">
        <v>0</v>
      </c>
      <c r="U12" s="76" t="n">
        <v>1.01</v>
      </c>
    </row>
    <row r="13">
      <c r="A13" t="n">
        <v>11</v>
      </c>
      <c r="B13" s="1" t="inlineStr">
        <is>
          <t>Nov</t>
        </is>
      </c>
      <c r="C13" s="24" t="n">
        <v>0.99</v>
      </c>
      <c r="D13" s="24" t="n">
        <v>0.7</v>
      </c>
      <c r="E13" s="24" t="n">
        <v>0.99</v>
      </c>
      <c r="F13" s="24" t="n">
        <v>0.29</v>
      </c>
      <c r="G13" s="24" t="n">
        <v>0</v>
      </c>
      <c r="H13" s="24" t="n">
        <v>4.13</v>
      </c>
      <c r="I13" s="24" t="n">
        <v>3.04</v>
      </c>
      <c r="J13" s="24" t="n">
        <v>0.49</v>
      </c>
      <c r="K13" s="24" t="n">
        <v>0.6</v>
      </c>
      <c r="L13" s="24" t="n">
        <v>0.72</v>
      </c>
      <c r="M13" s="7" t="n">
        <v>0.33</v>
      </c>
      <c r="O13" s="74" t="inlineStr">
        <is>
          <t>Nov</t>
        </is>
      </c>
      <c r="P13" s="75" t="n">
        <v>0.14</v>
      </c>
      <c r="Q13" s="75" t="n">
        <v>1.28</v>
      </c>
      <c r="R13" s="75" t="n">
        <v>1.03</v>
      </c>
      <c r="S13" s="75" t="n">
        <v>3.11</v>
      </c>
      <c r="T13" s="75" t="n">
        <v>0</v>
      </c>
      <c r="U13" s="76" t="n">
        <v>0</v>
      </c>
    </row>
    <row r="14" ht="13.5" customHeight="1" s="158" thickBot="1">
      <c r="A14" t="n">
        <v>12</v>
      </c>
      <c r="B14" s="2" t="inlineStr">
        <is>
          <t>Dec</t>
        </is>
      </c>
      <c r="C14" s="3" t="n">
        <v>0.06</v>
      </c>
      <c r="D14" s="3" t="n">
        <v>0.01</v>
      </c>
      <c r="E14" s="3" t="n">
        <v>0.07000000000000001</v>
      </c>
      <c r="F14" s="3" t="n">
        <v>0</v>
      </c>
      <c r="G14" s="3" t="n">
        <v>0</v>
      </c>
      <c r="H14" s="3" t="n">
        <v>2.15</v>
      </c>
      <c r="I14" s="3" t="n">
        <v>1.71</v>
      </c>
      <c r="J14" s="3" t="n">
        <v>0</v>
      </c>
      <c r="K14" s="3" t="n">
        <v>0.01</v>
      </c>
      <c r="L14" s="3" t="n">
        <v>0.01</v>
      </c>
      <c r="M14" s="4" t="n">
        <v>0</v>
      </c>
      <c r="O14" s="74" t="inlineStr">
        <is>
          <t>Dec</t>
        </is>
      </c>
      <c r="P14" s="75" t="n">
        <v>0</v>
      </c>
      <c r="Q14" s="75" t="n">
        <v>0.62</v>
      </c>
      <c r="R14" s="75" t="n">
        <v>0.5600000000000001</v>
      </c>
      <c r="S14" s="75" t="n">
        <v>2.44</v>
      </c>
      <c r="T14" s="75" t="n">
        <v>0</v>
      </c>
      <c r="U14" s="76" t="n">
        <v>0</v>
      </c>
    </row>
    <row r="15" ht="13.5" customHeight="1" s="158" thickBot="1">
      <c r="B15" s="11" t="inlineStr">
        <is>
          <t>Tot</t>
        </is>
      </c>
      <c r="C15" s="12" t="n">
        <v>60.8</v>
      </c>
      <c r="D15" s="12" t="n">
        <v>63.83</v>
      </c>
      <c r="E15" s="12" t="n">
        <v>56.14</v>
      </c>
      <c r="F15" s="12" t="n">
        <v>41.26</v>
      </c>
      <c r="G15" s="12" t="n">
        <v>26.54</v>
      </c>
      <c r="H15" s="12" t="n">
        <v>77.34999999999999</v>
      </c>
      <c r="I15" s="12" t="n">
        <v>59.06</v>
      </c>
      <c r="J15" s="12" t="n">
        <v>68.68000000000001</v>
      </c>
      <c r="K15" s="12" t="n">
        <v>49.06</v>
      </c>
      <c r="L15" s="12" t="n">
        <v>73.09999999999999</v>
      </c>
      <c r="M15" s="13" t="n">
        <v>62.24</v>
      </c>
      <c r="O15" s="77" t="inlineStr">
        <is>
          <t>Tot</t>
        </is>
      </c>
      <c r="P15" s="78" t="n">
        <v>52.88</v>
      </c>
      <c r="Q15" s="78" t="n">
        <v>23.03</v>
      </c>
      <c r="R15" s="78" t="n">
        <v>13.63</v>
      </c>
      <c r="S15" s="78" t="n">
        <v>36.49</v>
      </c>
      <c r="T15" s="78" t="n">
        <v>2.84</v>
      </c>
      <c r="U15" s="79" t="n">
        <v>15.03</v>
      </c>
    </row>
    <row r="16" ht="13.5" customHeight="1" s="158" thickTop="1">
      <c r="A16" t="inlineStr">
        <is>
          <t>Seasonal Values:</t>
        </is>
      </c>
      <c r="B16" s="167" t="n"/>
      <c r="C16" s="24" t="n"/>
      <c r="D16" s="24" t="n"/>
      <c r="E16" s="24" t="n"/>
      <c r="F16" s="24" t="n"/>
      <c r="G16" s="24" t="n"/>
      <c r="H16" s="24" t="n"/>
      <c r="I16" s="24" t="n"/>
      <c r="J16" s="24" t="n"/>
      <c r="K16" s="24" t="n"/>
      <c r="L16" s="24" t="n"/>
      <c r="M16" s="24" t="n"/>
      <c r="O16" s="80" t="inlineStr">
        <is>
          <t>Tier 2 Results</t>
        </is>
      </c>
    </row>
    <row r="17">
      <c r="B17" s="31" t="inlineStr">
        <is>
          <t>Clg_Coeff</t>
        </is>
      </c>
      <c r="C17" s="36">
        <f>C2</f>
        <v/>
      </c>
      <c r="D17" s="36">
        <f>D2</f>
        <v/>
      </c>
      <c r="E17" s="36">
        <f>E2</f>
        <v/>
      </c>
      <c r="F17" s="36">
        <f>F2</f>
        <v/>
      </c>
      <c r="G17" s="36">
        <f>G2</f>
        <v/>
      </c>
      <c r="H17" s="36">
        <f>H2</f>
        <v/>
      </c>
      <c r="I17" s="36">
        <f>I2</f>
        <v/>
      </c>
      <c r="J17" s="36">
        <f>J2</f>
        <v/>
      </c>
      <c r="K17" s="36">
        <f>K2</f>
        <v/>
      </c>
      <c r="L17" s="36">
        <f>L2</f>
        <v/>
      </c>
      <c r="M17" s="36">
        <f>M2</f>
        <v/>
      </c>
      <c r="P17" s="36">
        <f>P2</f>
        <v/>
      </c>
      <c r="Q17" s="36">
        <f>Q2</f>
        <v/>
      </c>
      <c r="R17" s="36">
        <f>R2</f>
        <v/>
      </c>
      <c r="S17" s="36">
        <f>S2</f>
        <v/>
      </c>
      <c r="T17" s="36">
        <f>T2</f>
        <v/>
      </c>
      <c r="U17" s="36">
        <f>U2</f>
        <v/>
      </c>
    </row>
    <row r="18">
      <c r="A18" t="n">
        <v>1</v>
      </c>
      <c r="B18" s="30">
        <f>Season_Coeff!N19</f>
        <v/>
      </c>
      <c r="C18" s="26">
        <f>IF($B18*C3&gt;0,$B18*C3,"")</f>
        <v/>
      </c>
      <c r="D18" s="26">
        <f>IF($B18*D3&gt;0,$B18*D3,"")</f>
        <v/>
      </c>
      <c r="E18" s="26">
        <f>IF($B18*E3&gt;0,$B18*E3,"")</f>
        <v/>
      </c>
      <c r="F18" s="26">
        <f>IF($B18*F3&gt;0,$B18*F3,"")</f>
        <v/>
      </c>
      <c r="G18" s="26">
        <f>IF($B18*G3&gt;0,$B18*G3,"")</f>
        <v/>
      </c>
      <c r="H18" s="26">
        <f>IF($B18*H3&gt;0,$B18*H3,"")</f>
        <v/>
      </c>
      <c r="I18" s="26">
        <f>IF($B18*I3&gt;0,$B18*I3,"")</f>
        <v/>
      </c>
      <c r="J18" s="26">
        <f>IF($B18*J3&gt;0,$B18*J3,"")</f>
        <v/>
      </c>
      <c r="K18" s="26">
        <f>IF($B18*K3&gt;0,$B18*K3,"")</f>
        <v/>
      </c>
      <c r="L18" s="26">
        <f>IF($B18*L3&gt;0,$B18*L3,"")</f>
        <v/>
      </c>
      <c r="M18" s="26">
        <f>IF($B18*M3&gt;0,$B18*M3,"")</f>
        <v/>
      </c>
      <c r="P18" s="26">
        <f>IF($B18*P3&gt;0,$B18*P3,"")</f>
        <v/>
      </c>
      <c r="Q18" s="26">
        <f>IF($B18*Q3&gt;0,$B18*Q3,"")</f>
        <v/>
      </c>
      <c r="R18" s="26">
        <f>IF($B18*R3&gt;0,$B18*R3,"")</f>
        <v/>
      </c>
      <c r="S18" s="26">
        <f>IF($B18*S3&gt;0,$B18*S3,"")</f>
        <v/>
      </c>
      <c r="T18" s="26">
        <f>IF($B18*T3&gt;0,$B18*T3,"")</f>
        <v/>
      </c>
      <c r="U18" s="26">
        <f>IF($B18*U3&gt;0,$B18*U3,"")</f>
        <v/>
      </c>
    </row>
    <row r="19">
      <c r="A19" t="n">
        <v>2</v>
      </c>
      <c r="B19" s="30">
        <f>Season_Coeff!N20</f>
        <v/>
      </c>
      <c r="C19" s="26">
        <f>IF($B19*C4&gt;0,$B19*C4,"")</f>
        <v/>
      </c>
      <c r="D19" s="26">
        <f>IF($B19*D4&gt;0,$B19*D4,"")</f>
        <v/>
      </c>
      <c r="E19" s="26">
        <f>IF($B19*E4&gt;0,$B19*E4,"")</f>
        <v/>
      </c>
      <c r="F19" s="26">
        <f>IF($B19*F4&gt;0,$B19*F4,"")</f>
        <v/>
      </c>
      <c r="G19" s="26">
        <f>IF($B19*G4&gt;0,$B19*G4,"")</f>
        <v/>
      </c>
      <c r="H19" s="26">
        <f>IF($B19*H4&gt;0,$B19*H4,"")</f>
        <v/>
      </c>
      <c r="I19" s="26">
        <f>IF($B19*I4&gt;0,$B19*I4,"")</f>
        <v/>
      </c>
      <c r="J19" s="26">
        <f>IF($B19*J4&gt;0,$B19*J4,"")</f>
        <v/>
      </c>
      <c r="K19" s="26">
        <f>IF($B19*K4&gt;0,$B19*K4,"")</f>
        <v/>
      </c>
      <c r="L19" s="26">
        <f>IF($B19*L4&gt;0,$B19*L4,"")</f>
        <v/>
      </c>
      <c r="M19" s="26">
        <f>IF($B19*M4&gt;0,$B19*M4,"")</f>
        <v/>
      </c>
      <c r="P19" s="26">
        <f>IF($B19*P4&gt;0,$B19*P4,"")</f>
        <v/>
      </c>
      <c r="Q19" s="26">
        <f>IF($B19*Q4&gt;0,$B19*Q4,"")</f>
        <v/>
      </c>
      <c r="R19" s="26">
        <f>IF($B19*R4&gt;0,$B19*R4,"")</f>
        <v/>
      </c>
      <c r="S19" s="26">
        <f>IF($B19*S4&gt;0,$B19*S4,"")</f>
        <v/>
      </c>
      <c r="T19" s="26">
        <f>IF($B19*T4&gt;0,$B19*T4,"")</f>
        <v/>
      </c>
      <c r="U19" s="26">
        <f>IF($B19*U4&gt;0,$B19*U4,"")</f>
        <v/>
      </c>
    </row>
    <row r="20">
      <c r="A20" t="n">
        <v>3</v>
      </c>
      <c r="B20" s="30">
        <f>Season_Coeff!N21</f>
        <v/>
      </c>
      <c r="C20" s="26">
        <f>IF($B20*C5&gt;0,$B20*C5,"")</f>
        <v/>
      </c>
      <c r="D20" s="26">
        <f>IF($B20*D5&gt;0,$B20*D5,"")</f>
        <v/>
      </c>
      <c r="E20" s="26">
        <f>IF($B20*E5&gt;0,$B20*E5,"")</f>
        <v/>
      </c>
      <c r="F20" s="26">
        <f>IF($B20*F5&gt;0,$B20*F5,"")</f>
        <v/>
      </c>
      <c r="G20" s="26">
        <f>IF($B20*G5&gt;0,$B20*G5,"")</f>
        <v/>
      </c>
      <c r="H20" s="26">
        <f>IF($B20*H5&gt;0,$B20*H5,"")</f>
        <v/>
      </c>
      <c r="I20" s="26">
        <f>IF($B20*I5&gt;0,$B20*I5,"")</f>
        <v/>
      </c>
      <c r="J20" s="26">
        <f>IF($B20*J5&gt;0,$B20*J5,"")</f>
        <v/>
      </c>
      <c r="K20" s="26">
        <f>IF($B20*K5&gt;0,$B20*K5,"")</f>
        <v/>
      </c>
      <c r="L20" s="26">
        <f>IF($B20*L5&gt;0,$B20*L5,"")</f>
        <v/>
      </c>
      <c r="M20" s="26">
        <f>IF($B20*M5&gt;0,$B20*M5,"")</f>
        <v/>
      </c>
      <c r="P20" s="26">
        <f>IF($B20*P5&gt;0,$B20*P5,"")</f>
        <v/>
      </c>
      <c r="Q20" s="26">
        <f>IF($B20*Q5&gt;0,$B20*Q5,"")</f>
        <v/>
      </c>
      <c r="R20" s="26">
        <f>IF($B20*R5&gt;0,$B20*R5,"")</f>
        <v/>
      </c>
      <c r="S20" s="26">
        <f>IF($B20*S5&gt;0,$B20*S5,"")</f>
        <v/>
      </c>
      <c r="T20" s="26">
        <f>IF($B20*T5&gt;0,$B20*T5,"")</f>
        <v/>
      </c>
      <c r="U20" s="26">
        <f>IF($B20*U5&gt;0,$B20*U5,"")</f>
        <v/>
      </c>
    </row>
    <row r="21">
      <c r="A21" t="n">
        <v>4</v>
      </c>
      <c r="B21" s="30">
        <f>Season_Coeff!N22</f>
        <v/>
      </c>
      <c r="C21" s="26">
        <f>IF($B21*C6&gt;0,$B21*C6,"")</f>
        <v/>
      </c>
      <c r="D21" s="26">
        <f>IF($B21*D6&gt;0,$B21*D6,"")</f>
        <v/>
      </c>
      <c r="E21" s="26">
        <f>IF($B21*E6&gt;0,$B21*E6,"")</f>
        <v/>
      </c>
      <c r="F21" s="26">
        <f>IF($B21*F6&gt;0,$B21*F6,"")</f>
        <v/>
      </c>
      <c r="G21" s="26">
        <f>IF($B21*G6&gt;0,$B21*G6,"")</f>
        <v/>
      </c>
      <c r="H21" s="26">
        <f>IF($B21*H6&gt;0,$B21*H6,"")</f>
        <v/>
      </c>
      <c r="I21" s="26">
        <f>IF($B21*I6&gt;0,$B21*I6,"")</f>
        <v/>
      </c>
      <c r="J21" s="26">
        <f>IF($B21*J6&gt;0,$B21*J6,"")</f>
        <v/>
      </c>
      <c r="K21" s="26">
        <f>IF($B21*K6&gt;0,$B21*K6,"")</f>
        <v/>
      </c>
      <c r="L21" s="26">
        <f>IF($B21*L6&gt;0,$B21*L6,"")</f>
        <v/>
      </c>
      <c r="M21" s="26">
        <f>IF($B21*M6&gt;0,$B21*M6,"")</f>
        <v/>
      </c>
      <c r="P21" s="26">
        <f>IF($B21*P6&gt;0,$B21*P6,"")</f>
        <v/>
      </c>
      <c r="Q21" s="26">
        <f>IF($B21*Q6&gt;0,$B21*Q6,"")</f>
        <v/>
      </c>
      <c r="R21" s="26">
        <f>IF($B21*R6&gt;0,$B21*R6,"")</f>
        <v/>
      </c>
      <c r="S21" s="26">
        <f>IF($B21*S6&gt;0,$B21*S6,"")</f>
        <v/>
      </c>
      <c r="T21" s="26">
        <f>IF($B21*T6&gt;0,$B21*T6,"")</f>
        <v/>
      </c>
      <c r="U21" s="26">
        <f>IF($B21*U6&gt;0,$B21*U6,"")</f>
        <v/>
      </c>
    </row>
    <row r="22">
      <c r="A22" t="n">
        <v>5</v>
      </c>
      <c r="B22" s="30">
        <f>Season_Coeff!N23</f>
        <v/>
      </c>
      <c r="C22" s="26">
        <f>IF($B22*C7&gt;0,$B22*C7,"")</f>
        <v/>
      </c>
      <c r="D22" s="26">
        <f>IF($B22*D7&gt;0,$B22*D7,"")</f>
        <v/>
      </c>
      <c r="E22" s="26">
        <f>IF($B22*E7&gt;0,$B22*E7,"")</f>
        <v/>
      </c>
      <c r="F22" s="26">
        <f>IF($B22*F7&gt;0,$B22*F7,"")</f>
        <v/>
      </c>
      <c r="G22" s="26">
        <f>IF($B22*G7&gt;0,$B22*G7,"")</f>
        <v/>
      </c>
      <c r="H22" s="26">
        <f>IF($B22*H7&gt;0,$B22*H7,"")</f>
        <v/>
      </c>
      <c r="I22" s="26">
        <f>IF($B22*I7&gt;0,$B22*I7,"")</f>
        <v/>
      </c>
      <c r="J22" s="26">
        <f>IF($B22*J7&gt;0,$B22*J7,"")</f>
        <v/>
      </c>
      <c r="K22" s="26">
        <f>IF($B22*K7&gt;0,$B22*K7,"")</f>
        <v/>
      </c>
      <c r="L22" s="26">
        <f>IF($B22*L7&gt;0,$B22*L7,"")</f>
        <v/>
      </c>
      <c r="M22" s="26">
        <f>IF($B22*M7&gt;0,$B22*M7,"")</f>
        <v/>
      </c>
      <c r="P22" s="26">
        <f>IF($B22*P7&gt;0,$B22*P7,"")</f>
        <v/>
      </c>
      <c r="Q22" s="26">
        <f>IF($B22*Q7&gt;0,$B22*Q7,"")</f>
        <v/>
      </c>
      <c r="R22" s="26">
        <f>IF($B22*R7&gt;0,$B22*R7,"")</f>
        <v/>
      </c>
      <c r="S22" s="26">
        <f>IF($B22*S7&gt;0,$B22*S7,"")</f>
        <v/>
      </c>
      <c r="T22" s="26">
        <f>IF($B22*T7&gt;0,$B22*T7,"")</f>
        <v/>
      </c>
      <c r="U22" s="26">
        <f>IF($B22*U7&gt;0,$B22*U7,"")</f>
        <v/>
      </c>
    </row>
    <row r="23">
      <c r="A23" t="n">
        <v>6</v>
      </c>
      <c r="B23" s="30">
        <f>Season_Coeff!N24</f>
        <v/>
      </c>
      <c r="C23" s="26">
        <f>IF($B23*C8&gt;0,$B23*C8,"")</f>
        <v/>
      </c>
      <c r="D23" s="26">
        <f>IF($B23*D8&gt;0,$B23*D8,"")</f>
        <v/>
      </c>
      <c r="E23" s="26">
        <f>IF($B23*E8&gt;0,$B23*E8,"")</f>
        <v/>
      </c>
      <c r="F23" s="26">
        <f>IF($B23*F8&gt;0,$B23*F8,"")</f>
        <v/>
      </c>
      <c r="G23" s="26">
        <f>IF($B23*G8&gt;0,$B23*G8,"")</f>
        <v/>
      </c>
      <c r="H23" s="26">
        <f>IF($B23*H8&gt;0,$B23*H8,"")</f>
        <v/>
      </c>
      <c r="I23" s="26">
        <f>IF($B23*I8&gt;0,$B23*I8,"")</f>
        <v/>
      </c>
      <c r="J23" s="26">
        <f>IF($B23*J8&gt;0,$B23*J8,"")</f>
        <v/>
      </c>
      <c r="K23" s="26">
        <f>IF($B23*K8&gt;0,$B23*K8,"")</f>
        <v/>
      </c>
      <c r="L23" s="26">
        <f>IF($B23*L8&gt;0,$B23*L8,"")</f>
        <v/>
      </c>
      <c r="M23" s="26">
        <f>IF($B23*M8&gt;0,$B23*M8,"")</f>
        <v/>
      </c>
      <c r="P23" s="26">
        <f>IF($B23*P8&gt;0,$B23*P8,"")</f>
        <v/>
      </c>
      <c r="Q23" s="26">
        <f>IF($B23*Q8&gt;0,$B23*Q8,"")</f>
        <v/>
      </c>
      <c r="R23" s="26">
        <f>IF($B23*R8&gt;0,$B23*R8,"")</f>
        <v/>
      </c>
      <c r="S23" s="26">
        <f>IF($B23*S8&gt;0,$B23*S8,"")</f>
        <v/>
      </c>
      <c r="T23" s="26">
        <f>IF($B23*T8&gt;0,$B23*T8,"")</f>
        <v/>
      </c>
      <c r="U23" s="26">
        <f>IF($B23*U8&gt;0,$B23*U8,"")</f>
        <v/>
      </c>
    </row>
    <row r="24">
      <c r="A24" t="n">
        <v>7</v>
      </c>
      <c r="B24" s="30">
        <f>Season_Coeff!N25</f>
        <v/>
      </c>
      <c r="C24" s="26">
        <f>IF($B24*C9&gt;0,$B24*C9,"")</f>
        <v/>
      </c>
      <c r="D24" s="26">
        <f>IF($B24*D9&gt;0,$B24*D9,"")</f>
        <v/>
      </c>
      <c r="E24" s="26">
        <f>IF($B24*E9&gt;0,$B24*E9,"")</f>
        <v/>
      </c>
      <c r="F24" s="26">
        <f>IF($B24*F9&gt;0,$B24*F9,"")</f>
        <v/>
      </c>
      <c r="G24" s="26">
        <f>IF($B24*G9&gt;0,$B24*G9,"")</f>
        <v/>
      </c>
      <c r="H24" s="26">
        <f>IF($B24*H9&gt;0,$B24*H9,"")</f>
        <v/>
      </c>
      <c r="I24" s="26">
        <f>IF($B24*I9&gt;0,$B24*I9,"")</f>
        <v/>
      </c>
      <c r="J24" s="26">
        <f>IF($B24*J9&gt;0,$B24*J9,"")</f>
        <v/>
      </c>
      <c r="K24" s="26">
        <f>IF($B24*K9&gt;0,$B24*K9,"")</f>
        <v/>
      </c>
      <c r="L24" s="26">
        <f>IF($B24*L9&gt;0,$B24*L9,"")</f>
        <v/>
      </c>
      <c r="M24" s="26">
        <f>IF($B24*M9&gt;0,$B24*M9,"")</f>
        <v/>
      </c>
      <c r="P24" s="26">
        <f>IF($B24*P9&gt;0,$B24*P9,"")</f>
        <v/>
      </c>
      <c r="Q24" s="26">
        <f>IF($B24*Q9&gt;0,$B24*Q9,"")</f>
        <v/>
      </c>
      <c r="R24" s="26">
        <f>IF($B24*R9&gt;0,$B24*R9,"")</f>
        <v/>
      </c>
      <c r="S24" s="26">
        <f>IF($B24*S9&gt;0,$B24*S9,"")</f>
        <v/>
      </c>
      <c r="T24" s="26">
        <f>IF($B24*T9&gt;0,$B24*T9,"")</f>
        <v/>
      </c>
      <c r="U24" s="26">
        <f>IF($B24*U9&gt;0,$B24*U9,"")</f>
        <v/>
      </c>
    </row>
    <row r="25">
      <c r="A25" t="n">
        <v>8</v>
      </c>
      <c r="B25" s="30">
        <f>Season_Coeff!N26</f>
        <v/>
      </c>
      <c r="C25" s="26">
        <f>IF($B25*C10&gt;0,$B25*C10,"")</f>
        <v/>
      </c>
      <c r="D25" s="26">
        <f>IF($B25*D10&gt;0,$B25*D10,"")</f>
        <v/>
      </c>
      <c r="E25" s="26">
        <f>IF($B25*E10&gt;0,$B25*E10,"")</f>
        <v/>
      </c>
      <c r="F25" s="26">
        <f>IF($B25*F10&gt;0,$B25*F10,"")</f>
        <v/>
      </c>
      <c r="G25" s="26">
        <f>IF($B25*G10&gt;0,$B25*G10,"")</f>
        <v/>
      </c>
      <c r="H25" s="26">
        <f>IF($B25*H10&gt;0,$B25*H10,"")</f>
        <v/>
      </c>
      <c r="I25" s="26">
        <f>IF($B25*I10&gt;0,$B25*I10,"")</f>
        <v/>
      </c>
      <c r="J25" s="26">
        <f>IF($B25*J10&gt;0,$B25*J10,"")</f>
        <v/>
      </c>
      <c r="K25" s="26">
        <f>IF($B25*K10&gt;0,$B25*K10,"")</f>
        <v/>
      </c>
      <c r="L25" s="26">
        <f>IF($B25*L10&gt;0,$B25*L10,"")</f>
        <v/>
      </c>
      <c r="M25" s="26">
        <f>IF($B25*M10&gt;0,$B25*M10,"")</f>
        <v/>
      </c>
      <c r="P25" s="26">
        <f>IF($B25*P10&gt;0,$B25*P10,"")</f>
        <v/>
      </c>
      <c r="Q25" s="26">
        <f>IF($B25*Q10&gt;0,$B25*Q10,"")</f>
        <v/>
      </c>
      <c r="R25" s="26">
        <f>IF($B25*R10&gt;0,$B25*R10,"")</f>
        <v/>
      </c>
      <c r="S25" s="26">
        <f>IF($B25*S10&gt;0,$B25*S10,"")</f>
        <v/>
      </c>
      <c r="T25" s="26">
        <f>IF($B25*T10&gt;0,$B25*T10,"")</f>
        <v/>
      </c>
      <c r="U25" s="26">
        <f>IF($B25*U10&gt;0,$B25*U10,"")</f>
        <v/>
      </c>
    </row>
    <row r="26">
      <c r="A26" t="n">
        <v>9</v>
      </c>
      <c r="B26" s="30">
        <f>Season_Coeff!N27</f>
        <v/>
      </c>
      <c r="C26" s="26">
        <f>IF($B26*C11&gt;0,$B26*C11,"")</f>
        <v/>
      </c>
      <c r="D26" s="26">
        <f>IF($B26*D11&gt;0,$B26*D11,"")</f>
        <v/>
      </c>
      <c r="E26" s="26">
        <f>IF($B26*E11&gt;0,$B26*E11,"")</f>
        <v/>
      </c>
      <c r="F26" s="26">
        <f>IF($B26*F11&gt;0,$B26*F11,"")</f>
        <v/>
      </c>
      <c r="G26" s="26">
        <f>IF($B26*G11&gt;0,$B26*G11,"")</f>
        <v/>
      </c>
      <c r="H26" s="26">
        <f>IF($B26*H11&gt;0,$B26*H11,"")</f>
        <v/>
      </c>
      <c r="I26" s="26">
        <f>IF($B26*I11&gt;0,$B26*I11,"")</f>
        <v/>
      </c>
      <c r="J26" s="26">
        <f>IF($B26*J11&gt;0,$B26*J11,"")</f>
        <v/>
      </c>
      <c r="K26" s="26">
        <f>IF($B26*K11&gt;0,$B26*K11,"")</f>
        <v/>
      </c>
      <c r="L26" s="26">
        <f>IF($B26*L11&gt;0,$B26*L11,"")</f>
        <v/>
      </c>
      <c r="M26" s="26">
        <f>IF($B26*M11&gt;0,$B26*M11,"")</f>
        <v/>
      </c>
      <c r="P26" s="26">
        <f>IF($B26*P11&gt;0,$B26*P11,"")</f>
        <v/>
      </c>
      <c r="Q26" s="26">
        <f>IF($B26*Q11&gt;0,$B26*Q11,"")</f>
        <v/>
      </c>
      <c r="R26" s="26">
        <f>IF($B26*R11&gt;0,$B26*R11,"")</f>
        <v/>
      </c>
      <c r="S26" s="26">
        <f>IF($B26*S11&gt;0,$B26*S11,"")</f>
        <v/>
      </c>
      <c r="T26" s="26">
        <f>IF($B26*T11&gt;0,$B26*T11,"")</f>
        <v/>
      </c>
      <c r="U26" s="26">
        <f>IF($B26*U11&gt;0,$B26*U11,"")</f>
        <v/>
      </c>
    </row>
    <row r="27">
      <c r="A27" t="n">
        <v>10</v>
      </c>
      <c r="B27" s="30">
        <f>Season_Coeff!N28</f>
        <v/>
      </c>
      <c r="C27" s="26">
        <f>IF($B27*C12&gt;0,$B27*C12,"")</f>
        <v/>
      </c>
      <c r="D27" s="26">
        <f>IF($B27*D12&gt;0,$B27*D12,"")</f>
        <v/>
      </c>
      <c r="E27" s="26">
        <f>IF($B27*E12&gt;0,$B27*E12,"")</f>
        <v/>
      </c>
      <c r="F27" s="26">
        <f>IF($B27*F12&gt;0,$B27*F12,"")</f>
        <v/>
      </c>
      <c r="G27" s="26">
        <f>IF($B27*G12&gt;0,$B27*G12,"")</f>
        <v/>
      </c>
      <c r="H27" s="26">
        <f>IF($B27*H12&gt;0,$B27*H12,"")</f>
        <v/>
      </c>
      <c r="I27" s="26">
        <f>IF($B27*I12&gt;0,$B27*I12,"")</f>
        <v/>
      </c>
      <c r="J27" s="26">
        <f>IF($B27*J12&gt;0,$B27*J12,"")</f>
        <v/>
      </c>
      <c r="K27" s="26">
        <f>IF($B27*K12&gt;0,$B27*K12,"")</f>
        <v/>
      </c>
      <c r="L27" s="26">
        <f>IF($B27*L12&gt;0,$B27*L12,"")</f>
        <v/>
      </c>
      <c r="M27" s="26">
        <f>IF($B27*M12&gt;0,$B27*M12,"")</f>
        <v/>
      </c>
      <c r="P27" s="26">
        <f>IF($B27*P12&gt;0,$B27*P12,"")</f>
        <v/>
      </c>
      <c r="Q27" s="26">
        <f>IF($B27*Q12&gt;0,$B27*Q12,"")</f>
        <v/>
      </c>
      <c r="R27" s="26">
        <f>IF($B27*R12&gt;0,$B27*R12,"")</f>
        <v/>
      </c>
      <c r="S27" s="26">
        <f>IF($B27*S12&gt;0,$B27*S12,"")</f>
        <v/>
      </c>
      <c r="T27" s="26">
        <f>IF($B27*T12&gt;0,$B27*T12,"")</f>
        <v/>
      </c>
      <c r="U27" s="26">
        <f>IF($B27*U12&gt;0,$B27*U12,"")</f>
        <v/>
      </c>
    </row>
    <row r="28">
      <c r="A28" t="n">
        <v>11</v>
      </c>
      <c r="B28" s="30">
        <f>Season_Coeff!N29</f>
        <v/>
      </c>
      <c r="C28" s="26">
        <f>IF($B28*C13&gt;0,$B28*C13,"")</f>
        <v/>
      </c>
      <c r="D28" s="26">
        <f>IF($B28*D13&gt;0,$B28*D13,"")</f>
        <v/>
      </c>
      <c r="E28" s="26">
        <f>IF($B28*E13&gt;0,$B28*E13,"")</f>
        <v/>
      </c>
      <c r="F28" s="26">
        <f>IF($B28*F13&gt;0,$B28*F13,"")</f>
        <v/>
      </c>
      <c r="G28" s="26">
        <f>IF($B28*G13&gt;0,$B28*G13,"")</f>
        <v/>
      </c>
      <c r="H28" s="26">
        <f>IF($B28*H13&gt;0,$B28*H13,"")</f>
        <v/>
      </c>
      <c r="I28" s="26">
        <f>IF($B28*I13&gt;0,$B28*I13,"")</f>
        <v/>
      </c>
      <c r="J28" s="26">
        <f>IF($B28*J13&gt;0,$B28*J13,"")</f>
        <v/>
      </c>
      <c r="K28" s="26">
        <f>IF($B28*K13&gt;0,$B28*K13,"")</f>
        <v/>
      </c>
      <c r="L28" s="26">
        <f>IF($B28*L13&gt;0,$B28*L13,"")</f>
        <v/>
      </c>
      <c r="M28" s="26">
        <f>IF($B28*M13&gt;0,$B28*M13,"")</f>
        <v/>
      </c>
      <c r="P28" s="26">
        <f>IF($B28*P13&gt;0,$B28*P13,"")</f>
        <v/>
      </c>
      <c r="Q28" s="26">
        <f>IF($B28*Q13&gt;0,$B28*Q13,"")</f>
        <v/>
      </c>
      <c r="R28" s="26">
        <f>IF($B28*R13&gt;0,$B28*R13,"")</f>
        <v/>
      </c>
      <c r="S28" s="26">
        <f>IF($B28*S13&gt;0,$B28*S13,"")</f>
        <v/>
      </c>
      <c r="T28" s="26">
        <f>IF($B28*T13&gt;0,$B28*T13,"")</f>
        <v/>
      </c>
      <c r="U28" s="26">
        <f>IF($B28*U13&gt;0,$B28*U13,"")</f>
        <v/>
      </c>
    </row>
    <row r="29">
      <c r="A29" t="n">
        <v>12</v>
      </c>
      <c r="B29" s="30">
        <f>Season_Coeff!N30</f>
        <v/>
      </c>
      <c r="C29" s="26">
        <f>IF($B29*C14&gt;0,$B29*C14,"")</f>
        <v/>
      </c>
      <c r="D29" s="26">
        <f>IF($B29*D14&gt;0,$B29*D14,"")</f>
        <v/>
      </c>
      <c r="E29" s="26">
        <f>IF($B29*E14&gt;0,$B29*E14,"")</f>
        <v/>
      </c>
      <c r="F29" s="26">
        <f>IF($B29*F14&gt;0,$B29*F14,"")</f>
        <v/>
      </c>
      <c r="G29" s="26">
        <f>IF($B29*G14&gt;0,$B29*G14,"")</f>
        <v/>
      </c>
      <c r="H29" s="26">
        <f>IF($B29*H14&gt;0,$B29*H14,"")</f>
        <v/>
      </c>
      <c r="I29" s="26">
        <f>IF($B29*I14&gt;0,$B29*I14,"")</f>
        <v/>
      </c>
      <c r="J29" s="26">
        <f>IF($B29*J14&gt;0,$B29*J14,"")</f>
        <v/>
      </c>
      <c r="K29" s="26">
        <f>IF($B29*K14&gt;0,$B29*K14,"")</f>
        <v/>
      </c>
      <c r="L29" s="26">
        <f>IF($B29*L14&gt;0,$B29*L14,"")</f>
        <v/>
      </c>
      <c r="M29" s="26">
        <f>IF($B29*M14&gt;0,$B29*M14,"")</f>
        <v/>
      </c>
      <c r="P29" s="26">
        <f>IF($B29*P14&gt;0,$B29*P14,"")</f>
        <v/>
      </c>
      <c r="Q29" s="26">
        <f>IF($B29*Q14&gt;0,$B29*Q14,"")</f>
        <v/>
      </c>
      <c r="R29" s="26">
        <f>IF($B29*R14&gt;0,$B29*R14,"")</f>
        <v/>
      </c>
      <c r="S29" s="26">
        <f>IF($B29*S14&gt;0,$B29*S14,"")</f>
        <v/>
      </c>
      <c r="T29" s="26">
        <f>IF($B29*T14&gt;0,$B29*T14,"")</f>
        <v/>
      </c>
      <c r="U29" s="26">
        <f>IF($B29*U14&gt;0,$B29*U14,"")</f>
        <v/>
      </c>
    </row>
    <row r="30">
      <c r="B30" s="33" t="inlineStr">
        <is>
          <t>Tot</t>
        </is>
      </c>
      <c r="C30" s="33">
        <f>SUM(C18:C29)</f>
        <v/>
      </c>
      <c r="D30" s="33">
        <f>SUM(D18:D29)</f>
        <v/>
      </c>
      <c r="E30" s="33">
        <f>SUM(E18:E29)</f>
        <v/>
      </c>
      <c r="F30" s="33">
        <f>SUM(F18:F29)</f>
        <v/>
      </c>
      <c r="G30" s="33">
        <f>SUM(G18:G29)</f>
        <v/>
      </c>
      <c r="H30" s="33">
        <f>SUM(H18:H29)</f>
        <v/>
      </c>
      <c r="I30" s="33">
        <f>SUM(I18:I29)</f>
        <v/>
      </c>
      <c r="J30" s="33">
        <f>SUM(J18:J29)</f>
        <v/>
      </c>
      <c r="K30" s="33">
        <f>SUM(K18:K29)</f>
        <v/>
      </c>
      <c r="L30" s="33">
        <f>SUM(L18:L29)</f>
        <v/>
      </c>
      <c r="M30" s="33">
        <f>SUM(M18:M29)</f>
        <v/>
      </c>
      <c r="P30" s="33">
        <f>SUM(P18:P29)</f>
        <v/>
      </c>
      <c r="Q30" s="33">
        <f>SUM(Q18:Q29)</f>
        <v/>
      </c>
      <c r="R30" s="33">
        <f>SUM(R18:R29)</f>
        <v/>
      </c>
      <c r="S30" s="33">
        <f>SUM(S18:S29)</f>
        <v/>
      </c>
      <c r="T30" s="33">
        <f>SUM(T18:T29)</f>
        <v/>
      </c>
      <c r="U30" s="33">
        <f>SUM(U18:U29)</f>
        <v/>
      </c>
    </row>
  </sheetData>
  <mergeCells count="1">
    <mergeCell ref="O1:U1"/>
  </mergeCells>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AG30"/>
  <sheetViews>
    <sheetView workbookViewId="0">
      <selection activeCell="A1" sqref="A1"/>
    </sheetView>
  </sheetViews>
  <sheetFormatPr baseColWidth="8" defaultRowHeight="12.75"/>
  <cols>
    <col width="3.7109375" customWidth="1" style="158" min="1" max="1"/>
    <col width="9.85546875" customWidth="1" style="158" min="28" max="33"/>
  </cols>
  <sheetData>
    <row r="1" ht="13.5" customHeight="1" s="158" thickTop="1">
      <c r="B1" s="166" t="inlineStr">
        <is>
          <t>Table B20-17.  SERIRES/SUNCODE 5.7 Monthly and Total Heating Loads (million Btu)</t>
        </is>
      </c>
      <c r="C1" s="167" t="n"/>
      <c r="D1" s="167" t="n"/>
      <c r="E1" s="167" t="n"/>
      <c r="F1" s="167" t="n"/>
      <c r="G1" s="167" t="n"/>
      <c r="H1" s="167" t="n"/>
      <c r="I1" s="167" t="n"/>
      <c r="J1" s="167" t="n"/>
      <c r="K1" s="167" t="n"/>
      <c r="L1" s="167" t="n"/>
      <c r="M1" s="167" t="n"/>
      <c r="N1" s="167" t="n"/>
      <c r="O1" s="167" t="n"/>
      <c r="P1" s="167" t="n"/>
      <c r="Q1" s="167" t="n"/>
      <c r="R1" s="167" t="n"/>
      <c r="S1" s="167" t="n"/>
      <c r="T1" s="167" t="n"/>
      <c r="U1" s="167" t="n"/>
      <c r="V1" s="167" t="n"/>
      <c r="W1" s="167" t="n"/>
      <c r="X1" s="167" t="n"/>
      <c r="Y1" s="168" t="n"/>
      <c r="AA1" s="180" t="inlineStr">
        <is>
          <t>Table B20-18.  SERIRES/SUNCODE 5.7 Monthly and Total Heating Loads (million Btu)</t>
        </is>
      </c>
      <c r="AB1" s="181" t="n"/>
      <c r="AC1" s="181" t="n"/>
      <c r="AD1" s="181" t="n"/>
      <c r="AE1" s="181" t="n"/>
      <c r="AF1" s="181" t="n"/>
      <c r="AG1" s="182" t="n"/>
    </row>
    <row r="2" ht="13.5" customHeight="1" s="158" thickBot="1">
      <c r="B2" s="2" t="n"/>
      <c r="C2" s="3" t="inlineStr">
        <is>
          <t>L100AC</t>
        </is>
      </c>
      <c r="D2" s="3" t="inlineStr">
        <is>
          <t>L110AC</t>
        </is>
      </c>
      <c r="E2" s="3" t="inlineStr">
        <is>
          <t>L120AC</t>
        </is>
      </c>
      <c r="F2" s="3" t="inlineStr">
        <is>
          <t>L130AC</t>
        </is>
      </c>
      <c r="G2" s="3" t="inlineStr">
        <is>
          <t>L140AC</t>
        </is>
      </c>
      <c r="H2" s="3" t="inlineStr">
        <is>
          <t>L150AC</t>
        </is>
      </c>
      <c r="I2" s="3" t="inlineStr">
        <is>
          <t>L155AC</t>
        </is>
      </c>
      <c r="J2" s="3" t="inlineStr">
        <is>
          <t>L160AC</t>
        </is>
      </c>
      <c r="K2" s="3" t="inlineStr">
        <is>
          <t>L170AC</t>
        </is>
      </c>
      <c r="L2" s="3" t="inlineStr">
        <is>
          <t>L200AC</t>
        </is>
      </c>
      <c r="M2" s="3" t="inlineStr">
        <is>
          <t>L202AC</t>
        </is>
      </c>
      <c r="N2" s="61" t="inlineStr">
        <is>
          <t>L302AC</t>
        </is>
      </c>
      <c r="O2" s="3" t="inlineStr">
        <is>
          <t>L302BC</t>
        </is>
      </c>
      <c r="P2" s="3" t="inlineStr">
        <is>
          <t>L304AC</t>
        </is>
      </c>
      <c r="Q2" s="3" t="inlineStr">
        <is>
          <t>L304BC</t>
        </is>
      </c>
      <c r="R2" s="3" t="inlineStr">
        <is>
          <t>L322A1</t>
        </is>
      </c>
      <c r="S2" s="3" t="inlineStr">
        <is>
          <t>L322A2</t>
        </is>
      </c>
      <c r="T2" s="3" t="inlineStr">
        <is>
          <t>L322B1</t>
        </is>
      </c>
      <c r="U2" s="3" t="inlineStr">
        <is>
          <t>L322B2</t>
        </is>
      </c>
      <c r="V2" s="3" t="inlineStr">
        <is>
          <t>L324A1</t>
        </is>
      </c>
      <c r="W2" s="3" t="inlineStr">
        <is>
          <t>L324A2</t>
        </is>
      </c>
      <c r="X2" s="3" t="inlineStr">
        <is>
          <t>L324B1</t>
        </is>
      </c>
      <c r="Y2" s="4" t="inlineStr">
        <is>
          <t>L324B2</t>
        </is>
      </c>
      <c r="AA2" s="1" t="n"/>
      <c r="AB2" s="24" t="inlineStr">
        <is>
          <t>L165AC</t>
        </is>
      </c>
      <c r="AC2" s="24" t="inlineStr">
        <is>
          <t>P100AC</t>
        </is>
      </c>
      <c r="AD2" s="24" t="inlineStr">
        <is>
          <t>P105AC</t>
        </is>
      </c>
      <c r="AE2" s="24" t="inlineStr">
        <is>
          <t>P110AC</t>
        </is>
      </c>
      <c r="AF2" s="24" t="inlineStr">
        <is>
          <t>P140AC</t>
        </is>
      </c>
      <c r="AG2" s="7" t="inlineStr">
        <is>
          <t>P150AC</t>
        </is>
      </c>
    </row>
    <row r="3">
      <c r="A3" t="n">
        <v>1</v>
      </c>
      <c r="B3" s="1" t="inlineStr">
        <is>
          <t>Jan</t>
        </is>
      </c>
      <c r="C3" s="24" t="n">
        <v>13.38</v>
      </c>
      <c r="D3" s="24" t="n">
        <v>17.31</v>
      </c>
      <c r="E3" s="24" t="n">
        <v>10.94</v>
      </c>
      <c r="F3" s="24" t="n">
        <v>9.460000000000001</v>
      </c>
      <c r="G3" s="24" t="n">
        <v>9.550000000000001</v>
      </c>
      <c r="H3" s="24" t="n">
        <v>11.39</v>
      </c>
      <c r="I3" s="24" t="n">
        <v>11.5</v>
      </c>
      <c r="J3" s="24" t="n">
        <v>14.11</v>
      </c>
      <c r="K3" s="24" t="n">
        <v>15</v>
      </c>
      <c r="L3" s="24" t="n">
        <v>28.72</v>
      </c>
      <c r="M3" s="24" t="n">
        <v>29.22</v>
      </c>
      <c r="N3" s="62" t="n">
        <v>14.96</v>
      </c>
      <c r="O3" s="24" t="n">
        <v>13.92</v>
      </c>
      <c r="P3" s="24" t="n">
        <v>12.72</v>
      </c>
      <c r="Q3" s="24" t="n">
        <v>11.94</v>
      </c>
      <c r="R3" s="24" t="n">
        <v>19.07</v>
      </c>
      <c r="S3" s="24" t="n">
        <v>19.23</v>
      </c>
      <c r="T3" s="24" t="n">
        <v>17.76</v>
      </c>
      <c r="U3" s="24" t="n">
        <v>17.78</v>
      </c>
      <c r="V3" s="24" t="n">
        <v>13.59</v>
      </c>
      <c r="W3" s="24" t="n">
        <v>13.68</v>
      </c>
      <c r="X3" s="24" t="n">
        <v>12.23</v>
      </c>
      <c r="Y3" s="7" t="n">
        <v>12.41</v>
      </c>
      <c r="AA3" s="1" t="inlineStr">
        <is>
          <t>Jan</t>
        </is>
      </c>
      <c r="AB3" s="24" t="n">
        <v>14.9</v>
      </c>
      <c r="AC3" s="24" t="n">
        <v>2.97</v>
      </c>
      <c r="AD3" s="24" t="n">
        <v>3.01</v>
      </c>
      <c r="AE3" s="24" t="n">
        <v>4.56</v>
      </c>
      <c r="AF3" s="24" t="n">
        <v>5.69</v>
      </c>
      <c r="AG3" s="7" t="n">
        <v>6.09</v>
      </c>
    </row>
    <row r="4">
      <c r="A4" t="n">
        <v>2</v>
      </c>
      <c r="B4" s="1" t="inlineStr">
        <is>
          <t>Feb</t>
        </is>
      </c>
      <c r="C4" s="24" t="n">
        <v>11.34</v>
      </c>
      <c r="D4" s="24" t="n">
        <v>14.77</v>
      </c>
      <c r="E4" s="24" t="n">
        <v>9.26</v>
      </c>
      <c r="F4" s="24" t="n">
        <v>8.050000000000001</v>
      </c>
      <c r="G4" s="24" t="n">
        <v>8.25</v>
      </c>
      <c r="H4" s="24" t="n">
        <v>9.890000000000001</v>
      </c>
      <c r="I4" s="24" t="n">
        <v>10.17</v>
      </c>
      <c r="J4" s="24" t="n">
        <v>11.67</v>
      </c>
      <c r="K4" s="24" t="n">
        <v>12.8</v>
      </c>
      <c r="L4" s="24" t="n">
        <v>24.72</v>
      </c>
      <c r="M4" s="24" t="n">
        <v>25.25</v>
      </c>
      <c r="N4" s="62" t="n">
        <v>12.73</v>
      </c>
      <c r="O4" s="24" t="n">
        <v>12.31</v>
      </c>
      <c r="P4" s="24" t="n">
        <v>10.78</v>
      </c>
      <c r="Q4" s="24" t="n">
        <v>10.46</v>
      </c>
      <c r="R4" s="24" t="n">
        <v>16.28</v>
      </c>
      <c r="S4" s="24" t="n">
        <v>16.46</v>
      </c>
      <c r="T4" s="24" t="n">
        <v>15.43</v>
      </c>
      <c r="U4" s="24" t="n">
        <v>15.46</v>
      </c>
      <c r="V4" s="24" t="n">
        <v>11.52</v>
      </c>
      <c r="W4" s="24" t="n">
        <v>11.62</v>
      </c>
      <c r="X4" s="24" t="n">
        <v>10.58</v>
      </c>
      <c r="Y4" s="7" t="n">
        <v>10.75</v>
      </c>
      <c r="AA4" s="1" t="inlineStr">
        <is>
          <t>Feb</t>
        </is>
      </c>
      <c r="AB4" s="24" t="n">
        <v>12.38</v>
      </c>
      <c r="AC4" s="24" t="n">
        <v>2.77</v>
      </c>
      <c r="AD4" s="24" t="n">
        <v>2.95</v>
      </c>
      <c r="AE4" s="24" t="n">
        <v>4.08</v>
      </c>
      <c r="AF4" s="24" t="n">
        <v>4.95</v>
      </c>
      <c r="AG4" s="7" t="n">
        <v>5.12</v>
      </c>
    </row>
    <row r="5">
      <c r="A5" t="n">
        <v>3</v>
      </c>
      <c r="B5" s="1" t="inlineStr">
        <is>
          <t>Mar</t>
        </is>
      </c>
      <c r="C5" s="24" t="n">
        <v>10.35</v>
      </c>
      <c r="D5" s="24" t="n">
        <v>13.7</v>
      </c>
      <c r="E5" s="24" t="n">
        <v>8.369999999999999</v>
      </c>
      <c r="F5" s="24" t="n">
        <v>7.35</v>
      </c>
      <c r="G5" s="24" t="n">
        <v>7.78</v>
      </c>
      <c r="H5" s="24" t="n">
        <v>9.42</v>
      </c>
      <c r="I5" s="24" t="n">
        <v>10.18</v>
      </c>
      <c r="J5" s="24" t="n">
        <v>10.01</v>
      </c>
      <c r="K5" s="24" t="n">
        <v>11.91</v>
      </c>
      <c r="L5" s="24" t="n">
        <v>23.41</v>
      </c>
      <c r="M5" s="24" t="n">
        <v>24.06</v>
      </c>
      <c r="N5" s="62" t="n">
        <v>11.73</v>
      </c>
      <c r="O5" s="24" t="n">
        <v>11.11</v>
      </c>
      <c r="P5" s="24" t="n">
        <v>9.82</v>
      </c>
      <c r="Q5" s="24" t="n">
        <v>9.35</v>
      </c>
      <c r="R5" s="24" t="n">
        <v>15.1</v>
      </c>
      <c r="S5" s="24" t="n">
        <v>15.31</v>
      </c>
      <c r="T5" s="24" t="n">
        <v>14.13</v>
      </c>
      <c r="U5" s="24" t="n">
        <v>14.14</v>
      </c>
      <c r="V5" s="24" t="n">
        <v>10.48</v>
      </c>
      <c r="W5" s="24" t="n">
        <v>10.59</v>
      </c>
      <c r="X5" s="24" t="n">
        <v>9.619999999999999</v>
      </c>
      <c r="Y5" s="7" t="n">
        <v>9.85</v>
      </c>
      <c r="AA5" s="1" t="inlineStr">
        <is>
          <t>Mar</t>
        </is>
      </c>
      <c r="AB5" s="24" t="n">
        <v>10.64</v>
      </c>
      <c r="AC5" s="24" t="n">
        <v>2.57</v>
      </c>
      <c r="AD5" s="24" t="n">
        <v>3.44</v>
      </c>
      <c r="AE5" s="24" t="n">
        <v>3.83</v>
      </c>
      <c r="AF5" s="24" t="n">
        <v>4.62</v>
      </c>
      <c r="AG5" s="7" t="n">
        <v>4.26</v>
      </c>
    </row>
    <row r="6">
      <c r="A6" t="n">
        <v>4</v>
      </c>
      <c r="B6" s="1" t="inlineStr">
        <is>
          <t>Apr</t>
        </is>
      </c>
      <c r="C6" s="24" t="n">
        <v>5.94</v>
      </c>
      <c r="D6" s="24" t="n">
        <v>8.08</v>
      </c>
      <c r="E6" s="24" t="n">
        <v>4.69</v>
      </c>
      <c r="F6" s="24" t="n">
        <v>4.07</v>
      </c>
      <c r="G6" s="24" t="n">
        <v>4.5</v>
      </c>
      <c r="H6" s="24" t="n">
        <v>5.86</v>
      </c>
      <c r="I6" s="24" t="n">
        <v>6.59</v>
      </c>
      <c r="J6" s="24" t="n">
        <v>5.4</v>
      </c>
      <c r="K6" s="24" t="n">
        <v>7.22</v>
      </c>
      <c r="L6" s="24" t="n">
        <v>14.4</v>
      </c>
      <c r="M6" s="24" t="n">
        <v>14.93</v>
      </c>
      <c r="N6" s="62" t="n">
        <v>6.88</v>
      </c>
      <c r="O6" s="24" t="n">
        <v>6.09</v>
      </c>
      <c r="P6" s="24" t="n">
        <v>5.66</v>
      </c>
      <c r="Q6" s="24" t="n">
        <v>5.12</v>
      </c>
      <c r="R6" s="24" t="n">
        <v>8.880000000000001</v>
      </c>
      <c r="S6" s="24" t="n">
        <v>9.119999999999999</v>
      </c>
      <c r="T6" s="24" t="n">
        <v>7.95</v>
      </c>
      <c r="U6" s="24" t="n">
        <v>7.91</v>
      </c>
      <c r="V6" s="24" t="n">
        <v>5.93</v>
      </c>
      <c r="W6" s="24" t="n">
        <v>6.04</v>
      </c>
      <c r="X6" s="24" t="n">
        <v>5.45</v>
      </c>
      <c r="Y6" s="7" t="n">
        <v>5.69</v>
      </c>
      <c r="AA6" s="1" t="inlineStr">
        <is>
          <t>Apr</t>
        </is>
      </c>
      <c r="AB6" s="24" t="n">
        <v>5.69</v>
      </c>
      <c r="AC6" s="24" t="n">
        <v>1.43</v>
      </c>
      <c r="AD6" s="24" t="n">
        <v>2.4</v>
      </c>
      <c r="AE6" s="24" t="n">
        <v>2.25</v>
      </c>
      <c r="AF6" s="24" t="n">
        <v>2.46</v>
      </c>
      <c r="AG6" s="7" t="n">
        <v>1.89</v>
      </c>
    </row>
    <row r="7">
      <c r="A7" t="n">
        <v>5</v>
      </c>
      <c r="B7" s="1" t="inlineStr">
        <is>
          <t>May</t>
        </is>
      </c>
      <c r="C7" s="24" t="n">
        <v>2.81</v>
      </c>
      <c r="D7" s="24" t="n">
        <v>4.08</v>
      </c>
      <c r="E7" s="24" t="n">
        <v>2.07</v>
      </c>
      <c r="F7" s="24" t="n">
        <v>1.74</v>
      </c>
      <c r="G7" s="24" t="n">
        <v>2.03</v>
      </c>
      <c r="H7" s="24" t="n">
        <v>2.96</v>
      </c>
      <c r="I7" s="24" t="n">
        <v>3.23</v>
      </c>
      <c r="J7" s="24" t="n">
        <v>2.52</v>
      </c>
      <c r="K7" s="24" t="n">
        <v>3.84</v>
      </c>
      <c r="L7" s="24" t="n">
        <v>7.98</v>
      </c>
      <c r="M7" s="24" t="n">
        <v>8.31</v>
      </c>
      <c r="N7" s="62" t="n">
        <v>3.45</v>
      </c>
      <c r="O7" s="24" t="n">
        <v>2.3</v>
      </c>
      <c r="P7" s="24" t="n">
        <v>2.73</v>
      </c>
      <c r="Q7" s="24" t="n">
        <v>1.86</v>
      </c>
      <c r="R7" s="24" t="n">
        <v>4.44</v>
      </c>
      <c r="S7" s="24" t="n">
        <v>4.62</v>
      </c>
      <c r="T7" s="24" t="n">
        <v>3.27</v>
      </c>
      <c r="U7" s="24" t="n">
        <v>3.2</v>
      </c>
      <c r="V7" s="24" t="n">
        <v>2.68</v>
      </c>
      <c r="W7" s="24" t="n">
        <v>2.77</v>
      </c>
      <c r="X7" s="24" t="n">
        <v>2.24</v>
      </c>
      <c r="Y7" s="7" t="n">
        <v>2.54</v>
      </c>
      <c r="AA7" s="1" t="inlineStr">
        <is>
          <t>May</t>
        </is>
      </c>
      <c r="AB7" s="24" t="n">
        <v>2.66</v>
      </c>
      <c r="AC7" s="24" t="n">
        <v>0.39</v>
      </c>
      <c r="AD7" s="24" t="n">
        <v>0.72</v>
      </c>
      <c r="AE7" s="24" t="n">
        <v>0.88</v>
      </c>
      <c r="AF7" s="24" t="n">
        <v>0.8100000000000001</v>
      </c>
      <c r="AG7" s="7" t="n">
        <v>0.43</v>
      </c>
    </row>
    <row r="8">
      <c r="A8" t="n">
        <v>6</v>
      </c>
      <c r="B8" s="1" t="inlineStr">
        <is>
          <t>Jun</t>
        </is>
      </c>
      <c r="C8" s="24" t="n">
        <v>0.83</v>
      </c>
      <c r="D8" s="24" t="n">
        <v>1.37</v>
      </c>
      <c r="E8" s="24" t="n">
        <v>0.54</v>
      </c>
      <c r="F8" s="24" t="n">
        <v>0.44</v>
      </c>
      <c r="G8" s="24" t="n">
        <v>0.53</v>
      </c>
      <c r="H8" s="24" t="n">
        <v>0.92</v>
      </c>
      <c r="I8" s="24" t="n">
        <v>0.99</v>
      </c>
      <c r="J8" s="24" t="n">
        <v>0.72</v>
      </c>
      <c r="K8" s="24" t="n">
        <v>1.34</v>
      </c>
      <c r="L8" s="24" t="n">
        <v>3.24</v>
      </c>
      <c r="M8" s="24" t="n">
        <v>3.38</v>
      </c>
      <c r="N8" s="62" t="n">
        <v>1.16</v>
      </c>
      <c r="O8" s="24" t="n">
        <v>0.48</v>
      </c>
      <c r="P8" s="24" t="n">
        <v>0.85</v>
      </c>
      <c r="Q8" s="24" t="n">
        <v>0.38</v>
      </c>
      <c r="R8" s="24" t="n">
        <v>1.43</v>
      </c>
      <c r="S8" s="24" t="n">
        <v>1.5</v>
      </c>
      <c r="T8" s="24" t="n">
        <v>0.72</v>
      </c>
      <c r="U8" s="24" t="n">
        <v>0.7</v>
      </c>
      <c r="V8" s="24" t="n">
        <v>0.72</v>
      </c>
      <c r="W8" s="24" t="n">
        <v>0.75</v>
      </c>
      <c r="X8" s="24" t="n">
        <v>0.5</v>
      </c>
      <c r="Y8" s="7" t="n">
        <v>0.67</v>
      </c>
      <c r="AA8" s="1" t="inlineStr">
        <is>
          <t>Jun</t>
        </is>
      </c>
      <c r="AB8" s="24" t="n">
        <v>0.77</v>
      </c>
      <c r="AC8" s="24" t="n">
        <v>0.05</v>
      </c>
      <c r="AD8" s="24" t="n">
        <v>0.1</v>
      </c>
      <c r="AE8" s="24" t="n">
        <v>0.2</v>
      </c>
      <c r="AF8" s="24" t="n">
        <v>0.14</v>
      </c>
      <c r="AG8" s="7" t="n">
        <v>0.04</v>
      </c>
    </row>
    <row r="9">
      <c r="A9" t="n">
        <v>7</v>
      </c>
      <c r="B9" s="1" t="inlineStr">
        <is>
          <t>Jul</t>
        </is>
      </c>
      <c r="C9" s="24" t="n">
        <v>0.09</v>
      </c>
      <c r="D9" s="24" t="n">
        <v>0.25</v>
      </c>
      <c r="E9" s="24" t="n">
        <v>0.03</v>
      </c>
      <c r="F9" s="24" t="n">
        <v>0.02</v>
      </c>
      <c r="G9" s="24" t="n">
        <v>0.02</v>
      </c>
      <c r="H9" s="24" t="n">
        <v>0.1</v>
      </c>
      <c r="I9" s="24" t="n">
        <v>0.12</v>
      </c>
      <c r="J9" s="24" t="n">
        <v>0.08</v>
      </c>
      <c r="K9" s="24" t="n">
        <v>0.31</v>
      </c>
      <c r="L9" s="24" t="n">
        <v>0.99</v>
      </c>
      <c r="M9" s="24" t="n">
        <v>1.05</v>
      </c>
      <c r="N9" s="62" t="n">
        <v>0.21</v>
      </c>
      <c r="O9" s="24" t="n">
        <v>0</v>
      </c>
      <c r="P9" s="24" t="n">
        <v>0.11</v>
      </c>
      <c r="Q9" s="24" t="n">
        <v>0</v>
      </c>
      <c r="R9" s="24" t="n">
        <v>0.22</v>
      </c>
      <c r="S9" s="24" t="n">
        <v>0.25</v>
      </c>
      <c r="T9" s="24" t="n">
        <v>0</v>
      </c>
      <c r="U9" s="24" t="n">
        <v>0</v>
      </c>
      <c r="V9" s="24" t="n">
        <v>0.05</v>
      </c>
      <c r="W9" s="24" t="n">
        <v>0.05</v>
      </c>
      <c r="X9" s="24" t="n">
        <v>0</v>
      </c>
      <c r="Y9" s="7" t="n">
        <v>0.02</v>
      </c>
      <c r="AA9" s="1" t="inlineStr">
        <is>
          <t>Jul</t>
        </is>
      </c>
      <c r="AB9" s="24" t="n">
        <v>0.09</v>
      </c>
      <c r="AC9" s="24" t="n">
        <v>0</v>
      </c>
      <c r="AD9" s="24" t="n">
        <v>0</v>
      </c>
      <c r="AE9" s="24" t="n">
        <v>0</v>
      </c>
      <c r="AF9" s="24" t="n">
        <v>0</v>
      </c>
      <c r="AG9" s="7" t="n">
        <v>0</v>
      </c>
    </row>
    <row r="10">
      <c r="A10" t="n">
        <v>8</v>
      </c>
      <c r="B10" s="1" t="inlineStr">
        <is>
          <t>Aug</t>
        </is>
      </c>
      <c r="C10" s="24" t="n">
        <v>0.19</v>
      </c>
      <c r="D10" s="24" t="n">
        <v>0.42</v>
      </c>
      <c r="E10" s="24" t="n">
        <v>0.08</v>
      </c>
      <c r="F10" s="24" t="n">
        <v>0.06</v>
      </c>
      <c r="G10" s="24" t="n">
        <v>0.06</v>
      </c>
      <c r="H10" s="24" t="n">
        <v>0.19</v>
      </c>
      <c r="I10" s="24" t="n">
        <v>0.24</v>
      </c>
      <c r="J10" s="24" t="n">
        <v>0.16</v>
      </c>
      <c r="K10" s="24" t="n">
        <v>0.51</v>
      </c>
      <c r="L10" s="24" t="n">
        <v>1.5</v>
      </c>
      <c r="M10" s="24" t="n">
        <v>1.57</v>
      </c>
      <c r="N10" s="62" t="n">
        <v>0.35</v>
      </c>
      <c r="O10" s="24" t="n">
        <v>0</v>
      </c>
      <c r="P10" s="24" t="n">
        <v>0.21</v>
      </c>
      <c r="Q10" s="24" t="n">
        <v>0</v>
      </c>
      <c r="R10" s="24" t="n">
        <v>0.39</v>
      </c>
      <c r="S10" s="24" t="n">
        <v>0.44</v>
      </c>
      <c r="T10" s="24" t="n">
        <v>0</v>
      </c>
      <c r="U10" s="24" t="n">
        <v>0</v>
      </c>
      <c r="V10" s="24" t="n">
        <v>0.12</v>
      </c>
      <c r="W10" s="24" t="n">
        <v>0.13</v>
      </c>
      <c r="X10" s="24" t="n">
        <v>0</v>
      </c>
      <c r="Y10" s="7" t="n">
        <v>0.06</v>
      </c>
      <c r="AA10" s="1" t="inlineStr">
        <is>
          <t>Aug</t>
        </is>
      </c>
      <c r="AB10" s="24" t="n">
        <v>0.18</v>
      </c>
      <c r="AC10" s="24" t="n">
        <v>0</v>
      </c>
      <c r="AD10" s="24" t="n">
        <v>0</v>
      </c>
      <c r="AE10" s="24" t="n">
        <v>0</v>
      </c>
      <c r="AF10" s="24" t="n">
        <v>0</v>
      </c>
      <c r="AG10" s="7" t="n">
        <v>0</v>
      </c>
    </row>
    <row r="11">
      <c r="A11" t="n">
        <v>9</v>
      </c>
      <c r="B11" s="1" t="inlineStr">
        <is>
          <t>Sep</t>
        </is>
      </c>
      <c r="C11" s="24" t="n">
        <v>1.47</v>
      </c>
      <c r="D11" s="24" t="n">
        <v>2.23</v>
      </c>
      <c r="E11" s="24" t="n">
        <v>0.98</v>
      </c>
      <c r="F11" s="24" t="n">
        <v>0.78</v>
      </c>
      <c r="G11" s="24" t="n">
        <v>0.93</v>
      </c>
      <c r="H11" s="24" t="n">
        <v>1.31</v>
      </c>
      <c r="I11" s="24" t="n">
        <v>1.5</v>
      </c>
      <c r="J11" s="24" t="n">
        <v>1.39</v>
      </c>
      <c r="K11" s="24" t="n">
        <v>2.19</v>
      </c>
      <c r="L11" s="24" t="n">
        <v>4.7</v>
      </c>
      <c r="M11" s="24" t="n">
        <v>4.85</v>
      </c>
      <c r="N11" s="62" t="n">
        <v>1.91</v>
      </c>
      <c r="O11" s="24" t="n">
        <v>0.64</v>
      </c>
      <c r="P11" s="24" t="n">
        <v>1.47</v>
      </c>
      <c r="Q11" s="24" t="n">
        <v>0.39</v>
      </c>
      <c r="R11" s="24" t="n">
        <v>2.38</v>
      </c>
      <c r="S11" s="24" t="n">
        <v>2.45</v>
      </c>
      <c r="T11" s="24" t="n">
        <v>0.63</v>
      </c>
      <c r="U11" s="24" t="n">
        <v>0.61</v>
      </c>
      <c r="V11" s="24" t="n">
        <v>1.3</v>
      </c>
      <c r="W11" s="24" t="n">
        <v>1.35</v>
      </c>
      <c r="X11" s="24" t="n">
        <v>0.36</v>
      </c>
      <c r="Y11" s="7" t="n">
        <v>0.85</v>
      </c>
      <c r="AA11" s="1" t="inlineStr">
        <is>
          <t>Sep</t>
        </is>
      </c>
      <c r="AB11" s="24" t="n">
        <v>1.48</v>
      </c>
      <c r="AC11" s="24" t="n">
        <v>0</v>
      </c>
      <c r="AD11" s="24" t="n">
        <v>0</v>
      </c>
      <c r="AE11" s="24" t="n">
        <v>0.14</v>
      </c>
      <c r="AF11" s="24" t="n">
        <v>0.13</v>
      </c>
      <c r="AG11" s="7" t="n">
        <v>0.01</v>
      </c>
    </row>
    <row r="12">
      <c r="A12" t="n">
        <v>10</v>
      </c>
      <c r="B12" s="1" t="inlineStr">
        <is>
          <t>Oct</t>
        </is>
      </c>
      <c r="C12" s="24" t="n">
        <v>4.1</v>
      </c>
      <c r="D12" s="24" t="n">
        <v>5.73</v>
      </c>
      <c r="E12" s="24" t="n">
        <v>3.07</v>
      </c>
      <c r="F12" s="24" t="n">
        <v>2.6</v>
      </c>
      <c r="G12" s="24" t="n">
        <v>2.98</v>
      </c>
      <c r="H12" s="24" t="n">
        <v>3.45</v>
      </c>
      <c r="I12" s="24" t="n">
        <v>3.66</v>
      </c>
      <c r="J12" s="24" t="n">
        <v>4.15</v>
      </c>
      <c r="K12" s="24" t="n">
        <v>5.28</v>
      </c>
      <c r="L12" s="24" t="n">
        <v>10.62</v>
      </c>
      <c r="M12" s="24" t="n">
        <v>10.91</v>
      </c>
      <c r="N12" s="62" t="n">
        <v>4.91</v>
      </c>
      <c r="O12" s="24" t="n">
        <v>3.37</v>
      </c>
      <c r="P12" s="24" t="n">
        <v>3.99</v>
      </c>
      <c r="Q12" s="24" t="n">
        <v>2.68</v>
      </c>
      <c r="R12" s="24" t="n">
        <v>6.23</v>
      </c>
      <c r="S12" s="24" t="n">
        <v>6.38</v>
      </c>
      <c r="T12" s="24" t="n">
        <v>4.04</v>
      </c>
      <c r="U12" s="24" t="n">
        <v>3.92</v>
      </c>
      <c r="V12" s="24" t="n">
        <v>3.95</v>
      </c>
      <c r="W12" s="24" t="n">
        <v>4.04</v>
      </c>
      <c r="X12" s="24" t="n">
        <v>2.48</v>
      </c>
      <c r="Y12" s="7" t="n">
        <v>3</v>
      </c>
      <c r="AA12" s="1" t="inlineStr">
        <is>
          <t>Oct</t>
        </is>
      </c>
      <c r="AB12" s="24" t="n">
        <v>4.48</v>
      </c>
      <c r="AC12" s="24" t="n">
        <v>0.23</v>
      </c>
      <c r="AD12" s="24" t="n">
        <v>0.28</v>
      </c>
      <c r="AE12" s="24" t="n">
        <v>0.77</v>
      </c>
      <c r="AF12" s="24" t="n">
        <v>1.32</v>
      </c>
      <c r="AG12" s="7" t="n">
        <v>0.66</v>
      </c>
    </row>
    <row r="13">
      <c r="A13" t="n">
        <v>11</v>
      </c>
      <c r="B13" s="1" t="inlineStr">
        <is>
          <t>Nov</t>
        </is>
      </c>
      <c r="C13" s="24" t="n">
        <v>9.51</v>
      </c>
      <c r="D13" s="24" t="n">
        <v>12.55</v>
      </c>
      <c r="E13" s="24" t="n">
        <v>7.67</v>
      </c>
      <c r="F13" s="24" t="n">
        <v>6.7</v>
      </c>
      <c r="G13" s="24" t="n">
        <v>7.09</v>
      </c>
      <c r="H13" s="24" t="n">
        <v>7.95</v>
      </c>
      <c r="I13" s="24" t="n">
        <v>8.08</v>
      </c>
      <c r="J13" s="24" t="n">
        <v>10.11</v>
      </c>
      <c r="K13" s="24" t="n">
        <v>11.04</v>
      </c>
      <c r="L13" s="24" t="n">
        <v>21.44</v>
      </c>
      <c r="M13" s="24" t="n">
        <v>21.94</v>
      </c>
      <c r="N13" s="62" t="n">
        <v>10.77</v>
      </c>
      <c r="O13" s="24" t="n">
        <v>9.83</v>
      </c>
      <c r="P13" s="24" t="n">
        <v>9.039999999999999</v>
      </c>
      <c r="Q13" s="24" t="n">
        <v>8.220000000000001</v>
      </c>
      <c r="R13" s="24" t="n">
        <v>13.84</v>
      </c>
      <c r="S13" s="24" t="n">
        <v>14.07</v>
      </c>
      <c r="T13" s="24" t="n">
        <v>12.18</v>
      </c>
      <c r="U13" s="24" t="n">
        <v>12.14</v>
      </c>
      <c r="V13" s="24" t="n">
        <v>9.640000000000001</v>
      </c>
      <c r="W13" s="24" t="n">
        <v>9.76</v>
      </c>
      <c r="X13" s="24" t="n">
        <v>7.94</v>
      </c>
      <c r="Y13" s="7" t="n">
        <v>8.17</v>
      </c>
      <c r="AA13" s="1" t="inlineStr">
        <is>
          <t>Nov</t>
        </is>
      </c>
      <c r="AB13" s="24" t="n">
        <v>10.87</v>
      </c>
      <c r="AC13" s="24" t="n">
        <v>1.29</v>
      </c>
      <c r="AD13" s="24" t="n">
        <v>1.33</v>
      </c>
      <c r="AE13" s="24" t="n">
        <v>2.79</v>
      </c>
      <c r="AF13" s="24" t="n">
        <v>4.13</v>
      </c>
      <c r="AG13" s="7" t="n">
        <v>3.85</v>
      </c>
    </row>
    <row r="14" ht="13.5" customHeight="1" s="158" thickBot="1">
      <c r="A14" t="n">
        <v>12</v>
      </c>
      <c r="B14" s="1" t="inlineStr">
        <is>
          <t>Dec</t>
        </is>
      </c>
      <c r="C14" s="24" t="n">
        <v>12.38</v>
      </c>
      <c r="D14" s="24" t="n">
        <v>16.04</v>
      </c>
      <c r="E14" s="24" t="n">
        <v>10.12</v>
      </c>
      <c r="F14" s="24" t="n">
        <v>8.710000000000001</v>
      </c>
      <c r="G14" s="24" t="n">
        <v>8.76</v>
      </c>
      <c r="H14" s="24" t="n">
        <v>10.59</v>
      </c>
      <c r="I14" s="24" t="n">
        <v>10.64</v>
      </c>
      <c r="J14" s="24" t="n">
        <v>13.19</v>
      </c>
      <c r="K14" s="24" t="n">
        <v>14.02</v>
      </c>
      <c r="L14" s="24" t="n">
        <v>26.62</v>
      </c>
      <c r="M14" s="24" t="n">
        <v>27.08</v>
      </c>
      <c r="N14" s="62" t="n">
        <v>13.86</v>
      </c>
      <c r="O14" s="24" t="n">
        <v>13.05</v>
      </c>
      <c r="P14" s="24" t="n">
        <v>11.78</v>
      </c>
      <c r="Q14" s="24" t="n">
        <v>11.19</v>
      </c>
      <c r="R14" s="24" t="n">
        <v>17.68</v>
      </c>
      <c r="S14" s="24" t="n">
        <v>17.85</v>
      </c>
      <c r="T14" s="24" t="n">
        <v>16.28</v>
      </c>
      <c r="U14" s="24" t="n">
        <v>16.24</v>
      </c>
      <c r="V14" s="24" t="n">
        <v>12.6</v>
      </c>
      <c r="W14" s="24" t="n">
        <v>12.69</v>
      </c>
      <c r="X14" s="24" t="n">
        <v>11.05</v>
      </c>
      <c r="Y14" s="7" t="n">
        <v>11.29</v>
      </c>
      <c r="AA14" s="1" t="inlineStr">
        <is>
          <t>Dec</t>
        </is>
      </c>
      <c r="AB14" s="24" t="n">
        <v>13.91</v>
      </c>
      <c r="AC14" s="24" t="n">
        <v>2.7</v>
      </c>
      <c r="AD14" s="24" t="n">
        <v>2.73</v>
      </c>
      <c r="AE14" s="24" t="n">
        <v>4.28</v>
      </c>
      <c r="AF14" s="24" t="n">
        <v>5.17</v>
      </c>
      <c r="AG14" s="7" t="n">
        <v>5.66</v>
      </c>
    </row>
    <row r="15" ht="13.5" customHeight="1" s="158" thickBot="1">
      <c r="B15" s="11" t="inlineStr">
        <is>
          <t>Tot</t>
        </is>
      </c>
      <c r="C15" s="12" t="n">
        <v>72.40000000000001</v>
      </c>
      <c r="D15" s="12" t="n">
        <v>96.52</v>
      </c>
      <c r="E15" s="12" t="n">
        <v>57.83</v>
      </c>
      <c r="F15" s="12" t="n">
        <v>49.98</v>
      </c>
      <c r="G15" s="12" t="n">
        <v>52.48</v>
      </c>
      <c r="H15" s="12" t="n">
        <v>64.03</v>
      </c>
      <c r="I15" s="12" t="n">
        <v>66.91</v>
      </c>
      <c r="J15" s="12" t="n">
        <v>73.5</v>
      </c>
      <c r="K15" s="12" t="n">
        <v>85.45</v>
      </c>
      <c r="L15" s="12" t="n">
        <v>168.33</v>
      </c>
      <c r="M15" s="12" t="n">
        <v>172.54</v>
      </c>
      <c r="N15" s="63" t="n">
        <v>82.90000000000001</v>
      </c>
      <c r="O15" s="12" t="n">
        <v>73.09999999999999</v>
      </c>
      <c r="P15" s="12" t="n">
        <v>69.15000000000001</v>
      </c>
      <c r="Q15" s="12" t="n">
        <v>61.58</v>
      </c>
      <c r="R15" s="12" t="n">
        <v>105.94</v>
      </c>
      <c r="S15" s="12" t="n">
        <v>107.69</v>
      </c>
      <c r="T15" s="12" t="n">
        <v>92.38</v>
      </c>
      <c r="U15" s="12" t="n">
        <v>92.11</v>
      </c>
      <c r="V15" s="12" t="n">
        <v>72.56</v>
      </c>
      <c r="W15" s="12" t="n">
        <v>73.47</v>
      </c>
      <c r="X15" s="12" t="n">
        <v>62.44</v>
      </c>
      <c r="Y15" s="13" t="n">
        <v>65.3</v>
      </c>
      <c r="AA15" s="11" t="inlineStr">
        <is>
          <t>Tot</t>
        </is>
      </c>
      <c r="AB15" s="12" t="n">
        <v>78.04000000000001</v>
      </c>
      <c r="AC15" s="12" t="n">
        <v>14.4</v>
      </c>
      <c r="AD15" s="12" t="n">
        <v>16.97</v>
      </c>
      <c r="AE15" s="12" t="n">
        <v>23.79</v>
      </c>
      <c r="AF15" s="12" t="n">
        <v>29.42</v>
      </c>
      <c r="AG15" s="13" t="n">
        <v>27.99</v>
      </c>
    </row>
    <row r="16" ht="13.5" customHeight="1" s="158" thickTop="1">
      <c r="A16" t="inlineStr">
        <is>
          <t>Seasonal Values:</t>
        </is>
      </c>
      <c r="B16" s="167" t="n"/>
      <c r="C16" s="24" t="n"/>
      <c r="D16" s="24" t="n"/>
      <c r="E16" s="24" t="n"/>
      <c r="F16" s="24" t="n"/>
      <c r="G16" s="24" t="n"/>
      <c r="H16" s="24" t="n"/>
      <c r="I16" s="24" t="n"/>
      <c r="J16" s="24" t="n"/>
      <c r="K16" s="24" t="n"/>
      <c r="L16" s="24" t="n"/>
      <c r="M16" s="24" t="n"/>
      <c r="N16" s="62" t="n"/>
      <c r="O16" s="24" t="n"/>
      <c r="P16" s="24" t="n"/>
      <c r="Q16" s="24" t="n"/>
      <c r="R16" s="24" t="n"/>
      <c r="S16" s="24" t="n"/>
      <c r="T16" s="24" t="n"/>
      <c r="U16" s="24" t="n"/>
      <c r="V16" s="24" t="n"/>
      <c r="W16" s="24" t="n"/>
      <c r="X16" s="24" t="n"/>
      <c r="Y16" s="24" t="n"/>
      <c r="AA16" s="80" t="inlineStr">
        <is>
          <t>Tier 2 Results</t>
        </is>
      </c>
    </row>
    <row r="17">
      <c r="B17" s="31" t="inlineStr">
        <is>
          <t>Htg_Coeff</t>
        </is>
      </c>
      <c r="C17" s="36">
        <f>C2</f>
        <v/>
      </c>
      <c r="D17" s="36">
        <f>D2</f>
        <v/>
      </c>
      <c r="E17" s="36">
        <f>E2</f>
        <v/>
      </c>
      <c r="F17" s="36">
        <f>F2</f>
        <v/>
      </c>
      <c r="G17" s="36">
        <f>G2</f>
        <v/>
      </c>
      <c r="H17" s="36">
        <f>H2</f>
        <v/>
      </c>
      <c r="I17" s="36">
        <f>I2</f>
        <v/>
      </c>
      <c r="J17" s="36">
        <f>J2</f>
        <v/>
      </c>
      <c r="K17" s="36">
        <f>K2</f>
        <v/>
      </c>
      <c r="L17" s="36">
        <f>L2</f>
        <v/>
      </c>
      <c r="M17" s="36">
        <f>M2</f>
        <v/>
      </c>
      <c r="N17" s="19">
        <f>N2</f>
        <v/>
      </c>
      <c r="O17" s="36">
        <f>O2</f>
        <v/>
      </c>
      <c r="P17" s="36">
        <f>P2</f>
        <v/>
      </c>
      <c r="Q17" s="36">
        <f>Q2</f>
        <v/>
      </c>
      <c r="R17" s="36">
        <f>R2</f>
        <v/>
      </c>
      <c r="S17" s="36">
        <f>S2</f>
        <v/>
      </c>
      <c r="T17" s="36">
        <f>T2</f>
        <v/>
      </c>
      <c r="U17" s="36">
        <f>U2</f>
        <v/>
      </c>
      <c r="V17" s="36">
        <f>V2</f>
        <v/>
      </c>
      <c r="W17" s="36">
        <f>W2</f>
        <v/>
      </c>
      <c r="X17" s="36">
        <f>X2</f>
        <v/>
      </c>
      <c r="Y17" s="36">
        <f>Y2</f>
        <v/>
      </c>
      <c r="AB17" s="36">
        <f>AB2</f>
        <v/>
      </c>
      <c r="AC17" s="36">
        <f>AC2</f>
        <v/>
      </c>
      <c r="AD17" s="36">
        <f>AD2</f>
        <v/>
      </c>
      <c r="AE17" s="36">
        <f>AE2</f>
        <v/>
      </c>
      <c r="AF17" s="36">
        <f>AF2</f>
        <v/>
      </c>
      <c r="AG17" s="36">
        <f>AG2</f>
        <v/>
      </c>
    </row>
    <row r="18">
      <c r="A18" t="n">
        <v>1</v>
      </c>
      <c r="B18" s="30">
        <f>Season_Coeff!N4</f>
        <v/>
      </c>
      <c r="C18" s="26">
        <f>IF($B18*C3&gt;0,$B18*C3,"")</f>
        <v/>
      </c>
      <c r="D18" s="26">
        <f>IF($B18*D3&gt;0,$B18*D3,"")</f>
        <v/>
      </c>
      <c r="E18" s="26">
        <f>IF($B18*E3&gt;0,$B18*E3,"")</f>
        <v/>
      </c>
      <c r="F18" s="26">
        <f>IF($B18*F3&gt;0,$B18*F3,"")</f>
        <v/>
      </c>
      <c r="G18" s="26">
        <f>IF($B18*G3&gt;0,$B18*G3,"")</f>
        <v/>
      </c>
      <c r="H18" s="26">
        <f>IF($B18*H3&gt;0,$B18*H3,"")</f>
        <v/>
      </c>
      <c r="I18" s="26">
        <f>IF($B18*I3&gt;0,$B18*I3,"")</f>
        <v/>
      </c>
      <c r="J18" s="26">
        <f>IF($B18*J3&gt;0,$B18*J3,"")</f>
        <v/>
      </c>
      <c r="K18" s="26">
        <f>IF($B18*K3&gt;0,$B18*K3,"")</f>
        <v/>
      </c>
      <c r="L18" s="26">
        <f>IF($B18*L3&gt;0,$B18*L3,"")</f>
        <v/>
      </c>
      <c r="M18" s="26">
        <f>IF($B18*M3&gt;0,$B18*M3,"")</f>
        <v/>
      </c>
      <c r="N18" s="20">
        <f>IF($B18*N3&gt;0,$B18*N3,"")</f>
        <v/>
      </c>
      <c r="O18" s="26">
        <f>IF($B18*O3&gt;0,$B18*O3,"")</f>
        <v/>
      </c>
      <c r="P18" s="26">
        <f>IF($B18*P3&gt;0,$B18*P3,"")</f>
        <v/>
      </c>
      <c r="Q18" s="26">
        <f>IF($B18*Q3&gt;0,$B18*Q3,"")</f>
        <v/>
      </c>
      <c r="R18" s="26">
        <f>IF($B18*R3&gt;0,$B18*R3,"")</f>
        <v/>
      </c>
      <c r="S18" s="26">
        <f>IF($B18*S3&gt;0,$B18*S3,"")</f>
        <v/>
      </c>
      <c r="T18" s="26">
        <f>IF($B18*T3&gt;0,$B18*T3,"")</f>
        <v/>
      </c>
      <c r="U18" s="26">
        <f>IF($B18*U3&gt;0,$B18*U3,"")</f>
        <v/>
      </c>
      <c r="V18" s="26">
        <f>IF($B18*V3&gt;0,$B18*V3,"")</f>
        <v/>
      </c>
      <c r="W18" s="26">
        <f>IF($B18*W3&gt;0,$B18*W3,"")</f>
        <v/>
      </c>
      <c r="X18" s="26">
        <f>IF($B18*X3&gt;0,$B18*X3,"")</f>
        <v/>
      </c>
      <c r="Y18" s="26">
        <f>IF($B18*Y3&gt;0,$B18*Y3,"")</f>
        <v/>
      </c>
      <c r="AB18" s="26">
        <f>IF($B18*AB3&gt;0,$B18*AB3,"")</f>
        <v/>
      </c>
      <c r="AC18" s="26">
        <f>IF($B18*AC3&gt;0,$B18*AC3,"")</f>
        <v/>
      </c>
      <c r="AD18" s="26">
        <f>IF($B18*AD3&gt;0,$B18*AD3,"")</f>
        <v/>
      </c>
      <c r="AE18" s="26">
        <f>IF($B18*AE3&gt;0,$B18*AE3,"")</f>
        <v/>
      </c>
      <c r="AF18" s="26">
        <f>IF($B18*AF3&gt;0,$B18*AF3,"")</f>
        <v/>
      </c>
      <c r="AG18" s="26">
        <f>IF($B18*AG3&gt;0,$B18*AG3,"")</f>
        <v/>
      </c>
    </row>
    <row r="19">
      <c r="A19" t="n">
        <v>2</v>
      </c>
      <c r="B19" s="30">
        <f>Season_Coeff!N5</f>
        <v/>
      </c>
      <c r="C19" s="26">
        <f>IF($B19*C4&gt;0,$B19*C4,"")</f>
        <v/>
      </c>
      <c r="D19" s="26">
        <f>IF($B19*D4&gt;0,$B19*D4,"")</f>
        <v/>
      </c>
      <c r="E19" s="26">
        <f>IF($B19*E4&gt;0,$B19*E4,"")</f>
        <v/>
      </c>
      <c r="F19" s="26">
        <f>IF($B19*F4&gt;0,$B19*F4,"")</f>
        <v/>
      </c>
      <c r="G19" s="26">
        <f>IF($B19*G4&gt;0,$B19*G4,"")</f>
        <v/>
      </c>
      <c r="H19" s="26">
        <f>IF($B19*H4&gt;0,$B19*H4,"")</f>
        <v/>
      </c>
      <c r="I19" s="26">
        <f>IF($B19*I4&gt;0,$B19*I4,"")</f>
        <v/>
      </c>
      <c r="J19" s="26">
        <f>IF($B19*J4&gt;0,$B19*J4,"")</f>
        <v/>
      </c>
      <c r="K19" s="26">
        <f>IF($B19*K4&gt;0,$B19*K4,"")</f>
        <v/>
      </c>
      <c r="L19" s="26">
        <f>IF($B19*L4&gt;0,$B19*L4,"")</f>
        <v/>
      </c>
      <c r="M19" s="26">
        <f>IF($B19*M4&gt;0,$B19*M4,"")</f>
        <v/>
      </c>
      <c r="N19" s="20">
        <f>IF($B19*N4&gt;0,$B19*N4,"")</f>
        <v/>
      </c>
      <c r="O19" s="26">
        <f>IF($B19*O4&gt;0,$B19*O4,"")</f>
        <v/>
      </c>
      <c r="P19" s="26">
        <f>IF($B19*P4&gt;0,$B19*P4,"")</f>
        <v/>
      </c>
      <c r="Q19" s="26">
        <f>IF($B19*Q4&gt;0,$B19*Q4,"")</f>
        <v/>
      </c>
      <c r="R19" s="26">
        <f>IF($B19*R4&gt;0,$B19*R4,"")</f>
        <v/>
      </c>
      <c r="S19" s="26">
        <f>IF($B19*S4&gt;0,$B19*S4,"")</f>
        <v/>
      </c>
      <c r="T19" s="26">
        <f>IF($B19*T4&gt;0,$B19*T4,"")</f>
        <v/>
      </c>
      <c r="U19" s="26">
        <f>IF($B19*U4&gt;0,$B19*U4,"")</f>
        <v/>
      </c>
      <c r="V19" s="26">
        <f>IF($B19*V4&gt;0,$B19*V4,"")</f>
        <v/>
      </c>
      <c r="W19" s="26">
        <f>IF($B19*W4&gt;0,$B19*W4,"")</f>
        <v/>
      </c>
      <c r="X19" s="26">
        <f>IF($B19*X4&gt;0,$B19*X4,"")</f>
        <v/>
      </c>
      <c r="Y19" s="26">
        <f>IF($B19*Y4&gt;0,$B19*Y4,"")</f>
        <v/>
      </c>
      <c r="AB19" s="26">
        <f>IF($B19*AB4&gt;0,$B19*AB4,"")</f>
        <v/>
      </c>
      <c r="AC19" s="26">
        <f>IF($B19*AC4&gt;0,$B19*AC4,"")</f>
        <v/>
      </c>
      <c r="AD19" s="26">
        <f>IF($B19*AD4&gt;0,$B19*AD4,"")</f>
        <v/>
      </c>
      <c r="AE19" s="26">
        <f>IF($B19*AE4&gt;0,$B19*AE4,"")</f>
        <v/>
      </c>
      <c r="AF19" s="26">
        <f>IF($B19*AF4&gt;0,$B19*AF4,"")</f>
        <v/>
      </c>
      <c r="AG19" s="26">
        <f>IF($B19*AG4&gt;0,$B19*AG4,"")</f>
        <v/>
      </c>
    </row>
    <row r="20">
      <c r="A20" t="n">
        <v>3</v>
      </c>
      <c r="B20" s="30">
        <f>Season_Coeff!N6</f>
        <v/>
      </c>
      <c r="C20" s="26">
        <f>IF($B20*C5&gt;0,$B20*C5,"")</f>
        <v/>
      </c>
      <c r="D20" s="26">
        <f>IF($B20*D5&gt;0,$B20*D5,"")</f>
        <v/>
      </c>
      <c r="E20" s="26">
        <f>IF($B20*E5&gt;0,$B20*E5,"")</f>
        <v/>
      </c>
      <c r="F20" s="26">
        <f>IF($B20*F5&gt;0,$B20*F5,"")</f>
        <v/>
      </c>
      <c r="G20" s="26">
        <f>IF($B20*G5&gt;0,$B20*G5,"")</f>
        <v/>
      </c>
      <c r="H20" s="26">
        <f>IF($B20*H5&gt;0,$B20*H5,"")</f>
        <v/>
      </c>
      <c r="I20" s="26">
        <f>IF($B20*I5&gt;0,$B20*I5,"")</f>
        <v/>
      </c>
      <c r="J20" s="26">
        <f>IF($B20*J5&gt;0,$B20*J5,"")</f>
        <v/>
      </c>
      <c r="K20" s="26">
        <f>IF($B20*K5&gt;0,$B20*K5,"")</f>
        <v/>
      </c>
      <c r="L20" s="26">
        <f>IF($B20*L5&gt;0,$B20*L5,"")</f>
        <v/>
      </c>
      <c r="M20" s="26">
        <f>IF($B20*M5&gt;0,$B20*M5,"")</f>
        <v/>
      </c>
      <c r="N20" s="20">
        <f>IF($B20*N5&gt;0,$B20*N5,"")</f>
        <v/>
      </c>
      <c r="O20" s="26">
        <f>IF($B20*O5&gt;0,$B20*O5,"")</f>
        <v/>
      </c>
      <c r="P20" s="26">
        <f>IF($B20*P5&gt;0,$B20*P5,"")</f>
        <v/>
      </c>
      <c r="Q20" s="26">
        <f>IF($B20*Q5&gt;0,$B20*Q5,"")</f>
        <v/>
      </c>
      <c r="R20" s="26">
        <f>IF($B20*R5&gt;0,$B20*R5,"")</f>
        <v/>
      </c>
      <c r="S20" s="26">
        <f>IF($B20*S5&gt;0,$B20*S5,"")</f>
        <v/>
      </c>
      <c r="T20" s="26">
        <f>IF($B20*T5&gt;0,$B20*T5,"")</f>
        <v/>
      </c>
      <c r="U20" s="26">
        <f>IF($B20*U5&gt;0,$B20*U5,"")</f>
        <v/>
      </c>
      <c r="V20" s="26">
        <f>IF($B20*V5&gt;0,$B20*V5,"")</f>
        <v/>
      </c>
      <c r="W20" s="26">
        <f>IF($B20*W5&gt;0,$B20*W5,"")</f>
        <v/>
      </c>
      <c r="X20" s="26">
        <f>IF($B20*X5&gt;0,$B20*X5,"")</f>
        <v/>
      </c>
      <c r="Y20" s="26">
        <f>IF($B20*Y5&gt;0,$B20*Y5,"")</f>
        <v/>
      </c>
      <c r="AB20" s="26">
        <f>IF($B20*AB5&gt;0,$B20*AB5,"")</f>
        <v/>
      </c>
      <c r="AC20" s="26">
        <f>IF($B20*AC5&gt;0,$B20*AC5,"")</f>
        <v/>
      </c>
      <c r="AD20" s="26">
        <f>IF($B20*AD5&gt;0,$B20*AD5,"")</f>
        <v/>
      </c>
      <c r="AE20" s="26">
        <f>IF($B20*AE5&gt;0,$B20*AE5,"")</f>
        <v/>
      </c>
      <c r="AF20" s="26">
        <f>IF($B20*AF5&gt;0,$B20*AF5,"")</f>
        <v/>
      </c>
      <c r="AG20" s="26">
        <f>IF($B20*AG5&gt;0,$B20*AG5,"")</f>
        <v/>
      </c>
    </row>
    <row r="21">
      <c r="A21" t="n">
        <v>4</v>
      </c>
      <c r="B21" s="30">
        <f>Season_Coeff!N7</f>
        <v/>
      </c>
      <c r="C21" s="26">
        <f>IF($B21*C6&gt;0,$B21*C6,"")</f>
        <v/>
      </c>
      <c r="D21" s="26">
        <f>IF($B21*D6&gt;0,$B21*D6,"")</f>
        <v/>
      </c>
      <c r="E21" s="26">
        <f>IF($B21*E6&gt;0,$B21*E6,"")</f>
        <v/>
      </c>
      <c r="F21" s="26">
        <f>IF($B21*F6&gt;0,$B21*F6,"")</f>
        <v/>
      </c>
      <c r="G21" s="26">
        <f>IF($B21*G6&gt;0,$B21*G6,"")</f>
        <v/>
      </c>
      <c r="H21" s="26">
        <f>IF($B21*H6&gt;0,$B21*H6,"")</f>
        <v/>
      </c>
      <c r="I21" s="26">
        <f>IF($B21*I6&gt;0,$B21*I6,"")</f>
        <v/>
      </c>
      <c r="J21" s="26">
        <f>IF($B21*J6&gt;0,$B21*J6,"")</f>
        <v/>
      </c>
      <c r="K21" s="26">
        <f>IF($B21*K6&gt;0,$B21*K6,"")</f>
        <v/>
      </c>
      <c r="L21" s="26">
        <f>IF($B21*L6&gt;0,$B21*L6,"")</f>
        <v/>
      </c>
      <c r="M21" s="26">
        <f>IF($B21*M6&gt;0,$B21*M6,"")</f>
        <v/>
      </c>
      <c r="N21" s="20">
        <f>IF($B21*N6&gt;0,$B21*N6,"")</f>
        <v/>
      </c>
      <c r="O21" s="26">
        <f>IF($B21*O6&gt;0,$B21*O6,"")</f>
        <v/>
      </c>
      <c r="P21" s="26">
        <f>IF($B21*P6&gt;0,$B21*P6,"")</f>
        <v/>
      </c>
      <c r="Q21" s="26">
        <f>IF($B21*Q6&gt;0,$B21*Q6,"")</f>
        <v/>
      </c>
      <c r="R21" s="26">
        <f>IF($B21*R6&gt;0,$B21*R6,"")</f>
        <v/>
      </c>
      <c r="S21" s="26">
        <f>IF($B21*S6&gt;0,$B21*S6,"")</f>
        <v/>
      </c>
      <c r="T21" s="26">
        <f>IF($B21*T6&gt;0,$B21*T6,"")</f>
        <v/>
      </c>
      <c r="U21" s="26">
        <f>IF($B21*U6&gt;0,$B21*U6,"")</f>
        <v/>
      </c>
      <c r="V21" s="26">
        <f>IF($B21*V6&gt;0,$B21*V6,"")</f>
        <v/>
      </c>
      <c r="W21" s="26">
        <f>IF($B21*W6&gt;0,$B21*W6,"")</f>
        <v/>
      </c>
      <c r="X21" s="26">
        <f>IF($B21*X6&gt;0,$B21*X6,"")</f>
        <v/>
      </c>
      <c r="Y21" s="26">
        <f>IF($B21*Y6&gt;0,$B21*Y6,"")</f>
        <v/>
      </c>
      <c r="AB21" s="26">
        <f>IF($B21*AB6&gt;0,$B21*AB6,"")</f>
        <v/>
      </c>
      <c r="AC21" s="26">
        <f>IF($B21*AC6&gt;0,$B21*AC6,"")</f>
        <v/>
      </c>
      <c r="AD21" s="26">
        <f>IF($B21*AD6&gt;0,$B21*AD6,"")</f>
        <v/>
      </c>
      <c r="AE21" s="26">
        <f>IF($B21*AE6&gt;0,$B21*AE6,"")</f>
        <v/>
      </c>
      <c r="AF21" s="26">
        <f>IF($B21*AF6&gt;0,$B21*AF6,"")</f>
        <v/>
      </c>
      <c r="AG21" s="26">
        <f>IF($B21*AG6&gt;0,$B21*AG6,"")</f>
        <v/>
      </c>
    </row>
    <row r="22">
      <c r="A22" t="n">
        <v>5</v>
      </c>
      <c r="B22" s="30">
        <f>Season_Coeff!N8</f>
        <v/>
      </c>
      <c r="C22" s="26">
        <f>IF($B22*C7&gt;0,$B22*C7,"")</f>
        <v/>
      </c>
      <c r="D22" s="26">
        <f>IF($B22*D7&gt;0,$B22*D7,"")</f>
        <v/>
      </c>
      <c r="E22" s="26">
        <f>IF($B22*E7&gt;0,$B22*E7,"")</f>
        <v/>
      </c>
      <c r="F22" s="26">
        <f>IF($B22*F7&gt;0,$B22*F7,"")</f>
        <v/>
      </c>
      <c r="G22" s="26">
        <f>IF($B22*G7&gt;0,$B22*G7,"")</f>
        <v/>
      </c>
      <c r="H22" s="26">
        <f>IF($B22*H7&gt;0,$B22*H7,"")</f>
        <v/>
      </c>
      <c r="I22" s="26">
        <f>IF($B22*I7&gt;0,$B22*I7,"")</f>
        <v/>
      </c>
      <c r="J22" s="26">
        <f>IF($B22*J7&gt;0,$B22*J7,"")</f>
        <v/>
      </c>
      <c r="K22" s="26">
        <f>IF($B22*K7&gt;0,$B22*K7,"")</f>
        <v/>
      </c>
      <c r="L22" s="26">
        <f>IF($B22*L7&gt;0,$B22*L7,"")</f>
        <v/>
      </c>
      <c r="M22" s="26">
        <f>IF($B22*M7&gt;0,$B22*M7,"")</f>
        <v/>
      </c>
      <c r="N22" s="20">
        <f>IF($B22*N7&gt;0,$B22*N7,"")</f>
        <v/>
      </c>
      <c r="O22" s="26">
        <f>IF($B22*O7&gt;0,$B22*O7,"")</f>
        <v/>
      </c>
      <c r="P22" s="26">
        <f>IF($B22*P7&gt;0,$B22*P7,"")</f>
        <v/>
      </c>
      <c r="Q22" s="26">
        <f>IF($B22*Q7&gt;0,$B22*Q7,"")</f>
        <v/>
      </c>
      <c r="R22" s="26">
        <f>IF($B22*R7&gt;0,$B22*R7,"")</f>
        <v/>
      </c>
      <c r="S22" s="26">
        <f>IF($B22*S7&gt;0,$B22*S7,"")</f>
        <v/>
      </c>
      <c r="T22" s="26">
        <f>IF($B22*T7&gt;0,$B22*T7,"")</f>
        <v/>
      </c>
      <c r="U22" s="26">
        <f>IF($B22*U7&gt;0,$B22*U7,"")</f>
        <v/>
      </c>
      <c r="V22" s="26">
        <f>IF($B22*V7&gt;0,$B22*V7,"")</f>
        <v/>
      </c>
      <c r="W22" s="26">
        <f>IF($B22*W7&gt;0,$B22*W7,"")</f>
        <v/>
      </c>
      <c r="X22" s="26">
        <f>IF($B22*X7&gt;0,$B22*X7,"")</f>
        <v/>
      </c>
      <c r="Y22" s="26">
        <f>IF($B22*Y7&gt;0,$B22*Y7,"")</f>
        <v/>
      </c>
      <c r="AB22" s="26">
        <f>IF($B22*AB7&gt;0,$B22*AB7,"")</f>
        <v/>
      </c>
      <c r="AC22" s="26">
        <f>IF($B22*AC7&gt;0,$B22*AC7,"")</f>
        <v/>
      </c>
      <c r="AD22" s="26">
        <f>IF($B22*AD7&gt;0,$B22*AD7,"")</f>
        <v/>
      </c>
      <c r="AE22" s="26">
        <f>IF($B22*AE7&gt;0,$B22*AE7,"")</f>
        <v/>
      </c>
      <c r="AF22" s="26">
        <f>IF($B22*AF7&gt;0,$B22*AF7,"")</f>
        <v/>
      </c>
      <c r="AG22" s="26">
        <f>IF($B22*AG7&gt;0,$B22*AG7,"")</f>
        <v/>
      </c>
    </row>
    <row r="23">
      <c r="A23" t="n">
        <v>6</v>
      </c>
      <c r="B23" s="30">
        <f>Season_Coeff!N9</f>
        <v/>
      </c>
      <c r="C23" s="26">
        <f>IF($B23*C8&gt;0,$B23*C8,"")</f>
        <v/>
      </c>
      <c r="D23" s="26">
        <f>IF($B23*D8&gt;0,$B23*D8,"")</f>
        <v/>
      </c>
      <c r="E23" s="26">
        <f>IF($B23*E8&gt;0,$B23*E8,"")</f>
        <v/>
      </c>
      <c r="F23" s="26">
        <f>IF($B23*F8&gt;0,$B23*F8,"")</f>
        <v/>
      </c>
      <c r="G23" s="26">
        <f>IF($B23*G8&gt;0,$B23*G8,"")</f>
        <v/>
      </c>
      <c r="H23" s="26">
        <f>IF($B23*H8&gt;0,$B23*H8,"")</f>
        <v/>
      </c>
      <c r="I23" s="26">
        <f>IF($B23*I8&gt;0,$B23*I8,"")</f>
        <v/>
      </c>
      <c r="J23" s="26">
        <f>IF($B23*J8&gt;0,$B23*J8,"")</f>
        <v/>
      </c>
      <c r="K23" s="26">
        <f>IF($B23*K8&gt;0,$B23*K8,"")</f>
        <v/>
      </c>
      <c r="L23" s="26">
        <f>IF($B23*L8&gt;0,$B23*L8,"")</f>
        <v/>
      </c>
      <c r="M23" s="26">
        <f>IF($B23*M8&gt;0,$B23*M8,"")</f>
        <v/>
      </c>
      <c r="N23" s="20">
        <f>IF($B23*N8&gt;0,$B23*N8,"")</f>
        <v/>
      </c>
      <c r="O23" s="26">
        <f>IF($B23*O8&gt;0,$B23*O8,"")</f>
        <v/>
      </c>
      <c r="P23" s="26">
        <f>IF($B23*P8&gt;0,$B23*P8,"")</f>
        <v/>
      </c>
      <c r="Q23" s="26">
        <f>IF($B23*Q8&gt;0,$B23*Q8,"")</f>
        <v/>
      </c>
      <c r="R23" s="26">
        <f>IF($B23*R8&gt;0,$B23*R8,"")</f>
        <v/>
      </c>
      <c r="S23" s="26">
        <f>IF($B23*S8&gt;0,$B23*S8,"")</f>
        <v/>
      </c>
      <c r="T23" s="26">
        <f>IF($B23*T8&gt;0,$B23*T8,"")</f>
        <v/>
      </c>
      <c r="U23" s="26">
        <f>IF($B23*U8&gt;0,$B23*U8,"")</f>
        <v/>
      </c>
      <c r="V23" s="26">
        <f>IF($B23*V8&gt;0,$B23*V8,"")</f>
        <v/>
      </c>
      <c r="W23" s="26">
        <f>IF($B23*W8&gt;0,$B23*W8,"")</f>
        <v/>
      </c>
      <c r="X23" s="26">
        <f>IF($B23*X8&gt;0,$B23*X8,"")</f>
        <v/>
      </c>
      <c r="Y23" s="26">
        <f>IF($B23*Y8&gt;0,$B23*Y8,"")</f>
        <v/>
      </c>
      <c r="AB23" s="26">
        <f>IF($B23*AB8&gt;0,$B23*AB8,"")</f>
        <v/>
      </c>
      <c r="AC23" s="26">
        <f>IF($B23*AC8&gt;0,$B23*AC8,"")</f>
        <v/>
      </c>
      <c r="AD23" s="26">
        <f>IF($B23*AD8&gt;0,$B23*AD8,"")</f>
        <v/>
      </c>
      <c r="AE23" s="26">
        <f>IF($B23*AE8&gt;0,$B23*AE8,"")</f>
        <v/>
      </c>
      <c r="AF23" s="26">
        <f>IF($B23*AF8&gt;0,$B23*AF8,"")</f>
        <v/>
      </c>
      <c r="AG23" s="26">
        <f>IF($B23*AG8&gt;0,$B23*AG8,"")</f>
        <v/>
      </c>
    </row>
    <row r="24">
      <c r="A24" t="n">
        <v>7</v>
      </c>
      <c r="B24" s="30">
        <f>Season_Coeff!N10</f>
        <v/>
      </c>
      <c r="C24" s="26">
        <f>IF($B24*C9&gt;0,$B24*C9,"")</f>
        <v/>
      </c>
      <c r="D24" s="26">
        <f>IF($B24*D9&gt;0,$B24*D9,"")</f>
        <v/>
      </c>
      <c r="E24" s="26">
        <f>IF($B24*E9&gt;0,$B24*E9,"")</f>
        <v/>
      </c>
      <c r="F24" s="26">
        <f>IF($B24*F9&gt;0,$B24*F9,"")</f>
        <v/>
      </c>
      <c r="G24" s="26">
        <f>IF($B24*G9&gt;0,$B24*G9,"")</f>
        <v/>
      </c>
      <c r="H24" s="26">
        <f>IF($B24*H9&gt;0,$B24*H9,"")</f>
        <v/>
      </c>
      <c r="I24" s="26">
        <f>IF($B24*I9&gt;0,$B24*I9,"")</f>
        <v/>
      </c>
      <c r="J24" s="26">
        <f>IF($B24*J9&gt;0,$B24*J9,"")</f>
        <v/>
      </c>
      <c r="K24" s="26">
        <f>IF($B24*K9&gt;0,$B24*K9,"")</f>
        <v/>
      </c>
      <c r="L24" s="26">
        <f>IF($B24*L9&gt;0,$B24*L9,"")</f>
        <v/>
      </c>
      <c r="M24" s="26">
        <f>IF($B24*M9&gt;0,$B24*M9,"")</f>
        <v/>
      </c>
      <c r="N24" s="20">
        <f>IF($B24*N9&gt;0,$B24*N9,"")</f>
        <v/>
      </c>
      <c r="O24" s="26">
        <f>IF($B24*O9&gt;0,$B24*O9,"")</f>
        <v/>
      </c>
      <c r="P24" s="26">
        <f>IF($B24*P9&gt;0,$B24*P9,"")</f>
        <v/>
      </c>
      <c r="Q24" s="26">
        <f>IF($B24*Q9&gt;0,$B24*Q9,"")</f>
        <v/>
      </c>
      <c r="R24" s="26">
        <f>IF($B24*R9&gt;0,$B24*R9,"")</f>
        <v/>
      </c>
      <c r="S24" s="26">
        <f>IF($B24*S9&gt;0,$B24*S9,"")</f>
        <v/>
      </c>
      <c r="T24" s="26">
        <f>IF($B24*T9&gt;0,$B24*T9,"")</f>
        <v/>
      </c>
      <c r="U24" s="26">
        <f>IF($B24*U9&gt;0,$B24*U9,"")</f>
        <v/>
      </c>
      <c r="V24" s="26">
        <f>IF($B24*V9&gt;0,$B24*V9,"")</f>
        <v/>
      </c>
      <c r="W24" s="26">
        <f>IF($B24*W9&gt;0,$B24*W9,"")</f>
        <v/>
      </c>
      <c r="X24" s="26">
        <f>IF($B24*X9&gt;0,$B24*X9,"")</f>
        <v/>
      </c>
      <c r="Y24" s="26">
        <f>IF($B24*Y9&gt;0,$B24*Y9,"")</f>
        <v/>
      </c>
      <c r="AB24" s="26">
        <f>IF($B24*AB9&gt;0,$B24*AB9,"")</f>
        <v/>
      </c>
      <c r="AC24" s="26">
        <f>IF($B24*AC9&gt;0,$B24*AC9,"")</f>
        <v/>
      </c>
      <c r="AD24" s="26">
        <f>IF($B24*AD9&gt;0,$B24*AD9,"")</f>
        <v/>
      </c>
      <c r="AE24" s="26">
        <f>IF($B24*AE9&gt;0,$B24*AE9,"")</f>
        <v/>
      </c>
      <c r="AF24" s="26">
        <f>IF($B24*AF9&gt;0,$B24*AF9,"")</f>
        <v/>
      </c>
      <c r="AG24" s="26">
        <f>IF($B24*AG9&gt;0,$B24*AG9,"")</f>
        <v/>
      </c>
    </row>
    <row r="25">
      <c r="A25" t="n">
        <v>8</v>
      </c>
      <c r="B25" s="30">
        <f>Season_Coeff!N11</f>
        <v/>
      </c>
      <c r="C25" s="26">
        <f>IF($B25*C10&gt;0,$B25*C10,"")</f>
        <v/>
      </c>
      <c r="D25" s="26">
        <f>IF($B25*D10&gt;0,$B25*D10,"")</f>
        <v/>
      </c>
      <c r="E25" s="26">
        <f>IF($B25*E10&gt;0,$B25*E10,"")</f>
        <v/>
      </c>
      <c r="F25" s="26">
        <f>IF($B25*F10&gt;0,$B25*F10,"")</f>
        <v/>
      </c>
      <c r="G25" s="26">
        <f>IF($B25*G10&gt;0,$B25*G10,"")</f>
        <v/>
      </c>
      <c r="H25" s="26">
        <f>IF($B25*H10&gt;0,$B25*H10,"")</f>
        <v/>
      </c>
      <c r="I25" s="26">
        <f>IF($B25*I10&gt;0,$B25*I10,"")</f>
        <v/>
      </c>
      <c r="J25" s="26">
        <f>IF($B25*J10&gt;0,$B25*J10,"")</f>
        <v/>
      </c>
      <c r="K25" s="26">
        <f>IF($B25*K10&gt;0,$B25*K10,"")</f>
        <v/>
      </c>
      <c r="L25" s="26">
        <f>IF($B25*L10&gt;0,$B25*L10,"")</f>
        <v/>
      </c>
      <c r="M25" s="26">
        <f>IF($B25*M10&gt;0,$B25*M10,"")</f>
        <v/>
      </c>
      <c r="N25" s="20">
        <f>IF($B25*N10&gt;0,$B25*N10,"")</f>
        <v/>
      </c>
      <c r="O25" s="26">
        <f>IF($B25*O10&gt;0,$B25*O10,"")</f>
        <v/>
      </c>
      <c r="P25" s="26">
        <f>IF($B25*P10&gt;0,$B25*P10,"")</f>
        <v/>
      </c>
      <c r="Q25" s="26">
        <f>IF($B25*Q10&gt;0,$B25*Q10,"")</f>
        <v/>
      </c>
      <c r="R25" s="26">
        <f>IF($B25*R10&gt;0,$B25*R10,"")</f>
        <v/>
      </c>
      <c r="S25" s="26">
        <f>IF($B25*S10&gt;0,$B25*S10,"")</f>
        <v/>
      </c>
      <c r="T25" s="26">
        <f>IF($B25*T10&gt;0,$B25*T10,"")</f>
        <v/>
      </c>
      <c r="U25" s="26">
        <f>IF($B25*U10&gt;0,$B25*U10,"")</f>
        <v/>
      </c>
      <c r="V25" s="26">
        <f>IF($B25*V10&gt;0,$B25*V10,"")</f>
        <v/>
      </c>
      <c r="W25" s="26">
        <f>IF($B25*W10&gt;0,$B25*W10,"")</f>
        <v/>
      </c>
      <c r="X25" s="26">
        <f>IF($B25*X10&gt;0,$B25*X10,"")</f>
        <v/>
      </c>
      <c r="Y25" s="26">
        <f>IF($B25*Y10&gt;0,$B25*Y10,"")</f>
        <v/>
      </c>
      <c r="AB25" s="26">
        <f>IF($B25*AB10&gt;0,$B25*AB10,"")</f>
        <v/>
      </c>
      <c r="AC25" s="26">
        <f>IF($B25*AC10&gt;0,$B25*AC10,"")</f>
        <v/>
      </c>
      <c r="AD25" s="26">
        <f>IF($B25*AD10&gt;0,$B25*AD10,"")</f>
        <v/>
      </c>
      <c r="AE25" s="26">
        <f>IF($B25*AE10&gt;0,$B25*AE10,"")</f>
        <v/>
      </c>
      <c r="AF25" s="26">
        <f>IF($B25*AF10&gt;0,$B25*AF10,"")</f>
        <v/>
      </c>
      <c r="AG25" s="26">
        <f>IF($B25*AG10&gt;0,$B25*AG10,"")</f>
        <v/>
      </c>
    </row>
    <row r="26">
      <c r="A26" t="n">
        <v>9</v>
      </c>
      <c r="B26" s="30">
        <f>Season_Coeff!N12</f>
        <v/>
      </c>
      <c r="C26" s="26">
        <f>IF($B26*C11&gt;0,$B26*C11,"")</f>
        <v/>
      </c>
      <c r="D26" s="26">
        <f>IF($B26*D11&gt;0,$B26*D11,"")</f>
        <v/>
      </c>
      <c r="E26" s="26">
        <f>IF($B26*E11&gt;0,$B26*E11,"")</f>
        <v/>
      </c>
      <c r="F26" s="26">
        <f>IF($B26*F11&gt;0,$B26*F11,"")</f>
        <v/>
      </c>
      <c r="G26" s="26">
        <f>IF($B26*G11&gt;0,$B26*G11,"")</f>
        <v/>
      </c>
      <c r="H26" s="26">
        <f>IF($B26*H11&gt;0,$B26*H11,"")</f>
        <v/>
      </c>
      <c r="I26" s="26">
        <f>IF($B26*I11&gt;0,$B26*I11,"")</f>
        <v/>
      </c>
      <c r="J26" s="26">
        <f>IF($B26*J11&gt;0,$B26*J11,"")</f>
        <v/>
      </c>
      <c r="K26" s="26">
        <f>IF($B26*K11&gt;0,$B26*K11,"")</f>
        <v/>
      </c>
      <c r="L26" s="26">
        <f>IF($B26*L11&gt;0,$B26*L11,"")</f>
        <v/>
      </c>
      <c r="M26" s="26">
        <f>IF($B26*M11&gt;0,$B26*M11,"")</f>
        <v/>
      </c>
      <c r="N26" s="20">
        <f>IF($B26*N11&gt;0,$B26*N11,"")</f>
        <v/>
      </c>
      <c r="O26" s="26">
        <f>IF($B26*O11&gt;0,$B26*O11,"")</f>
        <v/>
      </c>
      <c r="P26" s="26">
        <f>IF($B26*P11&gt;0,$B26*P11,"")</f>
        <v/>
      </c>
      <c r="Q26" s="26">
        <f>IF($B26*Q11&gt;0,$B26*Q11,"")</f>
        <v/>
      </c>
      <c r="R26" s="26">
        <f>IF($B26*R11&gt;0,$B26*R11,"")</f>
        <v/>
      </c>
      <c r="S26" s="26">
        <f>IF($B26*S11&gt;0,$B26*S11,"")</f>
        <v/>
      </c>
      <c r="T26" s="26">
        <f>IF($B26*T11&gt;0,$B26*T11,"")</f>
        <v/>
      </c>
      <c r="U26" s="26">
        <f>IF($B26*U11&gt;0,$B26*U11,"")</f>
        <v/>
      </c>
      <c r="V26" s="26">
        <f>IF($B26*V11&gt;0,$B26*V11,"")</f>
        <v/>
      </c>
      <c r="W26" s="26">
        <f>IF($B26*W11&gt;0,$B26*W11,"")</f>
        <v/>
      </c>
      <c r="X26" s="26">
        <f>IF($B26*X11&gt;0,$B26*X11,"")</f>
        <v/>
      </c>
      <c r="Y26" s="26">
        <f>IF($B26*Y11&gt;0,$B26*Y11,"")</f>
        <v/>
      </c>
      <c r="AB26" s="26">
        <f>IF($B26*AB11&gt;0,$B26*AB11,"")</f>
        <v/>
      </c>
      <c r="AC26" s="26">
        <f>IF($B26*AC11&gt;0,$B26*AC11,"")</f>
        <v/>
      </c>
      <c r="AD26" s="26">
        <f>IF($B26*AD11&gt;0,$B26*AD11,"")</f>
        <v/>
      </c>
      <c r="AE26" s="26">
        <f>IF($B26*AE11&gt;0,$B26*AE11,"")</f>
        <v/>
      </c>
      <c r="AF26" s="26">
        <f>IF($B26*AF11&gt;0,$B26*AF11,"")</f>
        <v/>
      </c>
      <c r="AG26" s="26">
        <f>IF($B26*AG11&gt;0,$B26*AG11,"")</f>
        <v/>
      </c>
    </row>
    <row r="27">
      <c r="A27" t="n">
        <v>10</v>
      </c>
      <c r="B27" s="30">
        <f>Season_Coeff!N13</f>
        <v/>
      </c>
      <c r="C27" s="26">
        <f>IF($B27*C12&gt;0,$B27*C12,"")</f>
        <v/>
      </c>
      <c r="D27" s="26">
        <f>IF($B27*D12&gt;0,$B27*D12,"")</f>
        <v/>
      </c>
      <c r="E27" s="26">
        <f>IF($B27*E12&gt;0,$B27*E12,"")</f>
        <v/>
      </c>
      <c r="F27" s="26">
        <f>IF($B27*F12&gt;0,$B27*F12,"")</f>
        <v/>
      </c>
      <c r="G27" s="26">
        <f>IF($B27*G12&gt;0,$B27*G12,"")</f>
        <v/>
      </c>
      <c r="H27" s="26">
        <f>IF($B27*H12&gt;0,$B27*H12,"")</f>
        <v/>
      </c>
      <c r="I27" s="26">
        <f>IF($B27*I12&gt;0,$B27*I12,"")</f>
        <v/>
      </c>
      <c r="J27" s="26">
        <f>IF($B27*J12&gt;0,$B27*J12,"")</f>
        <v/>
      </c>
      <c r="K27" s="26">
        <f>IF($B27*K12&gt;0,$B27*K12,"")</f>
        <v/>
      </c>
      <c r="L27" s="26">
        <f>IF($B27*L12&gt;0,$B27*L12,"")</f>
        <v/>
      </c>
      <c r="M27" s="26">
        <f>IF($B27*M12&gt;0,$B27*M12,"")</f>
        <v/>
      </c>
      <c r="N27" s="20">
        <f>IF($B27*N12&gt;0,$B27*N12,"")</f>
        <v/>
      </c>
      <c r="O27" s="26">
        <f>IF($B27*O12&gt;0,$B27*O12,"")</f>
        <v/>
      </c>
      <c r="P27" s="26">
        <f>IF($B27*P12&gt;0,$B27*P12,"")</f>
        <v/>
      </c>
      <c r="Q27" s="26">
        <f>IF($B27*Q12&gt;0,$B27*Q12,"")</f>
        <v/>
      </c>
      <c r="R27" s="26">
        <f>IF($B27*R12&gt;0,$B27*R12,"")</f>
        <v/>
      </c>
      <c r="S27" s="26">
        <f>IF($B27*S12&gt;0,$B27*S12,"")</f>
        <v/>
      </c>
      <c r="T27" s="26">
        <f>IF($B27*T12&gt;0,$B27*T12,"")</f>
        <v/>
      </c>
      <c r="U27" s="26">
        <f>IF($B27*U12&gt;0,$B27*U12,"")</f>
        <v/>
      </c>
      <c r="V27" s="26">
        <f>IF($B27*V12&gt;0,$B27*V12,"")</f>
        <v/>
      </c>
      <c r="W27" s="26">
        <f>IF($B27*W12&gt;0,$B27*W12,"")</f>
        <v/>
      </c>
      <c r="X27" s="26">
        <f>IF($B27*X12&gt;0,$B27*X12,"")</f>
        <v/>
      </c>
      <c r="Y27" s="26">
        <f>IF($B27*Y12&gt;0,$B27*Y12,"")</f>
        <v/>
      </c>
      <c r="AB27" s="26">
        <f>IF($B27*AB12&gt;0,$B27*AB12,"")</f>
        <v/>
      </c>
      <c r="AC27" s="26">
        <f>IF($B27*AC12&gt;0,$B27*AC12,"")</f>
        <v/>
      </c>
      <c r="AD27" s="26">
        <f>IF($B27*AD12&gt;0,$B27*AD12,"")</f>
        <v/>
      </c>
      <c r="AE27" s="26">
        <f>IF($B27*AE12&gt;0,$B27*AE12,"")</f>
        <v/>
      </c>
      <c r="AF27" s="26">
        <f>IF($B27*AF12&gt;0,$B27*AF12,"")</f>
        <v/>
      </c>
      <c r="AG27" s="26">
        <f>IF($B27*AG12&gt;0,$B27*AG12,"")</f>
        <v/>
      </c>
    </row>
    <row r="28">
      <c r="A28" t="n">
        <v>11</v>
      </c>
      <c r="B28" s="30">
        <f>Season_Coeff!N14</f>
        <v/>
      </c>
      <c r="C28" s="26">
        <f>IF($B28*C13&gt;0,$B28*C13,"")</f>
        <v/>
      </c>
      <c r="D28" s="26">
        <f>IF($B28*D13&gt;0,$B28*D13,"")</f>
        <v/>
      </c>
      <c r="E28" s="26">
        <f>IF($B28*E13&gt;0,$B28*E13,"")</f>
        <v/>
      </c>
      <c r="F28" s="26">
        <f>IF($B28*F13&gt;0,$B28*F13,"")</f>
        <v/>
      </c>
      <c r="G28" s="26">
        <f>IF($B28*G13&gt;0,$B28*G13,"")</f>
        <v/>
      </c>
      <c r="H28" s="26">
        <f>IF($B28*H13&gt;0,$B28*H13,"")</f>
        <v/>
      </c>
      <c r="I28" s="26">
        <f>IF($B28*I13&gt;0,$B28*I13,"")</f>
        <v/>
      </c>
      <c r="J28" s="26">
        <f>IF($B28*J13&gt;0,$B28*J13,"")</f>
        <v/>
      </c>
      <c r="K28" s="26">
        <f>IF($B28*K13&gt;0,$B28*K13,"")</f>
        <v/>
      </c>
      <c r="L28" s="26">
        <f>IF($B28*L13&gt;0,$B28*L13,"")</f>
        <v/>
      </c>
      <c r="M28" s="26">
        <f>IF($B28*M13&gt;0,$B28*M13,"")</f>
        <v/>
      </c>
      <c r="N28" s="20">
        <f>IF($B28*N13&gt;0,$B28*N13,"")</f>
        <v/>
      </c>
      <c r="O28" s="26">
        <f>IF($B28*O13&gt;0,$B28*O13,"")</f>
        <v/>
      </c>
      <c r="P28" s="26">
        <f>IF($B28*P13&gt;0,$B28*P13,"")</f>
        <v/>
      </c>
      <c r="Q28" s="26">
        <f>IF($B28*Q13&gt;0,$B28*Q13,"")</f>
        <v/>
      </c>
      <c r="R28" s="26">
        <f>IF($B28*R13&gt;0,$B28*R13,"")</f>
        <v/>
      </c>
      <c r="S28" s="26">
        <f>IF($B28*S13&gt;0,$B28*S13,"")</f>
        <v/>
      </c>
      <c r="T28" s="26">
        <f>IF($B28*T13&gt;0,$B28*T13,"")</f>
        <v/>
      </c>
      <c r="U28" s="26">
        <f>IF($B28*U13&gt;0,$B28*U13,"")</f>
        <v/>
      </c>
      <c r="V28" s="26">
        <f>IF($B28*V13&gt;0,$B28*V13,"")</f>
        <v/>
      </c>
      <c r="W28" s="26">
        <f>IF($B28*W13&gt;0,$B28*W13,"")</f>
        <v/>
      </c>
      <c r="X28" s="26">
        <f>IF($B28*X13&gt;0,$B28*X13,"")</f>
        <v/>
      </c>
      <c r="Y28" s="26">
        <f>IF($B28*Y13&gt;0,$B28*Y13,"")</f>
        <v/>
      </c>
      <c r="AB28" s="26">
        <f>IF($B28*AB13&gt;0,$B28*AB13,"")</f>
        <v/>
      </c>
      <c r="AC28" s="26">
        <f>IF($B28*AC13&gt;0,$B28*AC13,"")</f>
        <v/>
      </c>
      <c r="AD28" s="26">
        <f>IF($B28*AD13&gt;0,$B28*AD13,"")</f>
        <v/>
      </c>
      <c r="AE28" s="26">
        <f>IF($B28*AE13&gt;0,$B28*AE13,"")</f>
        <v/>
      </c>
      <c r="AF28" s="26">
        <f>IF($B28*AF13&gt;0,$B28*AF13,"")</f>
        <v/>
      </c>
      <c r="AG28" s="26">
        <f>IF($B28*AG13&gt;0,$B28*AG13,"")</f>
        <v/>
      </c>
    </row>
    <row r="29">
      <c r="A29" t="n">
        <v>12</v>
      </c>
      <c r="B29" s="30">
        <f>Season_Coeff!N15</f>
        <v/>
      </c>
      <c r="C29" s="26">
        <f>IF($B29*C14&gt;0,$B29*C14,"")</f>
        <v/>
      </c>
      <c r="D29" s="26">
        <f>IF($B29*D14&gt;0,$B29*D14,"")</f>
        <v/>
      </c>
      <c r="E29" s="26">
        <f>IF($B29*E14&gt;0,$B29*E14,"")</f>
        <v/>
      </c>
      <c r="F29" s="26">
        <f>IF($B29*F14&gt;0,$B29*F14,"")</f>
        <v/>
      </c>
      <c r="G29" s="26">
        <f>IF($B29*G14&gt;0,$B29*G14,"")</f>
        <v/>
      </c>
      <c r="H29" s="26">
        <f>IF($B29*H14&gt;0,$B29*H14,"")</f>
        <v/>
      </c>
      <c r="I29" s="26">
        <f>IF($B29*I14&gt;0,$B29*I14,"")</f>
        <v/>
      </c>
      <c r="J29" s="26">
        <f>IF($B29*J14&gt;0,$B29*J14,"")</f>
        <v/>
      </c>
      <c r="K29" s="26">
        <f>IF($B29*K14&gt;0,$B29*K14,"")</f>
        <v/>
      </c>
      <c r="L29" s="26">
        <f>IF($B29*L14&gt;0,$B29*L14,"")</f>
        <v/>
      </c>
      <c r="M29" s="26">
        <f>IF($B29*M14&gt;0,$B29*M14,"")</f>
        <v/>
      </c>
      <c r="N29" s="20">
        <f>IF($B29*N14&gt;0,$B29*N14,"")</f>
        <v/>
      </c>
      <c r="O29" s="26">
        <f>IF($B29*O14&gt;0,$B29*O14,"")</f>
        <v/>
      </c>
      <c r="P29" s="26">
        <f>IF($B29*P14&gt;0,$B29*P14,"")</f>
        <v/>
      </c>
      <c r="Q29" s="26">
        <f>IF($B29*Q14&gt;0,$B29*Q14,"")</f>
        <v/>
      </c>
      <c r="R29" s="26">
        <f>IF($B29*R14&gt;0,$B29*R14,"")</f>
        <v/>
      </c>
      <c r="S29" s="26">
        <f>IF($B29*S14&gt;0,$B29*S14,"")</f>
        <v/>
      </c>
      <c r="T29" s="26">
        <f>IF($B29*T14&gt;0,$B29*T14,"")</f>
        <v/>
      </c>
      <c r="U29" s="26">
        <f>IF($B29*U14&gt;0,$B29*U14,"")</f>
        <v/>
      </c>
      <c r="V29" s="26">
        <f>IF($B29*V14&gt;0,$B29*V14,"")</f>
        <v/>
      </c>
      <c r="W29" s="26">
        <f>IF($B29*W14&gt;0,$B29*W14,"")</f>
        <v/>
      </c>
      <c r="X29" s="26">
        <f>IF($B29*X14&gt;0,$B29*X14,"")</f>
        <v/>
      </c>
      <c r="Y29" s="26">
        <f>IF($B29*Y14&gt;0,$B29*Y14,"")</f>
        <v/>
      </c>
      <c r="AB29" s="26">
        <f>IF($B29*AB14&gt;0,$B29*AB14,"")</f>
        <v/>
      </c>
      <c r="AC29" s="26">
        <f>IF($B29*AC14&gt;0,$B29*AC14,"")</f>
        <v/>
      </c>
      <c r="AD29" s="26">
        <f>IF($B29*AD14&gt;0,$B29*AD14,"")</f>
        <v/>
      </c>
      <c r="AE29" s="26">
        <f>IF($B29*AE14&gt;0,$B29*AE14,"")</f>
        <v/>
      </c>
      <c r="AF29" s="26">
        <f>IF($B29*AF14&gt;0,$B29*AF14,"")</f>
        <v/>
      </c>
      <c r="AG29" s="26">
        <f>IF($B29*AG14&gt;0,$B29*AG14,"")</f>
        <v/>
      </c>
    </row>
    <row r="30">
      <c r="B30" s="33" t="inlineStr">
        <is>
          <t>Tot</t>
        </is>
      </c>
      <c r="C30" s="33">
        <f>SUM(C18:C29)</f>
        <v/>
      </c>
      <c r="D30" s="33">
        <f>SUM(D18:D29)</f>
        <v/>
      </c>
      <c r="E30" s="33">
        <f>SUM(E18:E29)</f>
        <v/>
      </c>
      <c r="F30" s="33">
        <f>SUM(F18:F29)</f>
        <v/>
      </c>
      <c r="G30" s="33">
        <f>SUM(G18:G29)</f>
        <v/>
      </c>
      <c r="H30" s="33">
        <f>SUM(H18:H29)</f>
        <v/>
      </c>
      <c r="I30" s="33">
        <f>SUM(I18:I29)</f>
        <v/>
      </c>
      <c r="J30" s="33">
        <f>SUM(J18:J29)</f>
        <v/>
      </c>
      <c r="K30" s="33">
        <f>SUM(K18:K29)</f>
        <v/>
      </c>
      <c r="L30" s="33">
        <f>SUM(L18:L29)</f>
        <v/>
      </c>
      <c r="M30" s="33">
        <f>SUM(M18:M29)</f>
        <v/>
      </c>
      <c r="N30" s="64">
        <f>SUM(N18:N29)</f>
        <v/>
      </c>
      <c r="O30" s="33">
        <f>SUM(O18:O29)</f>
        <v/>
      </c>
      <c r="P30" s="33">
        <f>SUM(P18:P29)</f>
        <v/>
      </c>
      <c r="Q30" s="33">
        <f>SUM(Q18:Q29)</f>
        <v/>
      </c>
      <c r="R30" s="33">
        <f>SUM(R18:R29)</f>
        <v/>
      </c>
      <c r="S30" s="33">
        <f>SUM(S18:S29)</f>
        <v/>
      </c>
      <c r="T30" s="33">
        <f>SUM(T18:T29)</f>
        <v/>
      </c>
      <c r="U30" s="33">
        <f>SUM(U18:U29)</f>
        <v/>
      </c>
      <c r="V30" s="33">
        <f>SUM(V18:V29)</f>
        <v/>
      </c>
      <c r="W30" s="33">
        <f>SUM(W18:W29)</f>
        <v/>
      </c>
      <c r="X30" s="33">
        <f>SUM(X18:X29)</f>
        <v/>
      </c>
      <c r="Y30" s="33">
        <f>SUM(Y18:Y29)</f>
        <v/>
      </c>
      <c r="AB30" s="33">
        <f>SUM(AB18:AB29)</f>
        <v/>
      </c>
      <c r="AC30" s="33">
        <f>SUM(AC18:AC29)</f>
        <v/>
      </c>
      <c r="AD30" s="33">
        <f>SUM(AD18:AD29)</f>
        <v/>
      </c>
      <c r="AE30" s="33">
        <f>SUM(AE18:AE29)</f>
        <v/>
      </c>
      <c r="AF30" s="33">
        <f>SUM(AF18:AF29)</f>
        <v/>
      </c>
      <c r="AG30" s="33">
        <f>SUM(AG18:AG29)</f>
        <v/>
      </c>
    </row>
  </sheetData>
  <mergeCells count="1">
    <mergeCell ref="AA1:AG1"/>
  </mergeCells>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U30"/>
  <sheetViews>
    <sheetView workbookViewId="0">
      <selection activeCell="A1" sqref="A1"/>
    </sheetView>
  </sheetViews>
  <sheetFormatPr baseColWidth="8" defaultRowHeight="12.75"/>
  <cols>
    <col width="3.7109375" customWidth="1" style="158" min="1" max="1"/>
    <col width="11.85546875" customWidth="1" style="158" min="16" max="16"/>
    <col width="12" customWidth="1" style="158" min="17" max="17"/>
    <col width="12.28515625" customWidth="1" style="158" min="18" max="18"/>
    <col width="12" customWidth="1" style="158" min="19" max="19"/>
    <col width="12.140625" customWidth="1" style="158" min="20" max="20"/>
    <col width="11.85546875" customWidth="1" style="158" min="21" max="21"/>
  </cols>
  <sheetData>
    <row r="1" ht="13.5" customHeight="1" s="158" thickTop="1">
      <c r="B1" s="166" t="inlineStr">
        <is>
          <t>Table B20-19.  SERIRES/SUNCODE 5.7 Monthly and Total Sensible Cooling Loads (million Btu)</t>
        </is>
      </c>
      <c r="C1" s="167" t="n"/>
      <c r="D1" s="167" t="n"/>
      <c r="E1" s="167" t="n"/>
      <c r="F1" s="167" t="n"/>
      <c r="G1" s="167" t="n"/>
      <c r="H1" s="167" t="n"/>
      <c r="I1" s="167" t="n"/>
      <c r="J1" s="167" t="n"/>
      <c r="K1" s="167" t="n"/>
      <c r="L1" s="167" t="n"/>
      <c r="M1" s="168" t="n"/>
      <c r="O1" s="183" t="inlineStr">
        <is>
          <t>Table B20-20.  SERIRES/SUNCODE 5.7 Monthly and Total Sensible Cooling Loads (million Btu)</t>
        </is>
      </c>
      <c r="P1" s="181" t="n"/>
      <c r="Q1" s="181" t="n"/>
      <c r="R1" s="181" t="n"/>
      <c r="S1" s="181" t="n"/>
      <c r="T1" s="181" t="n"/>
      <c r="U1" s="182" t="n"/>
    </row>
    <row r="2" ht="13.5" customHeight="1" s="158" thickBot="1">
      <c r="B2" s="2" t="n"/>
      <c r="C2" s="3" t="inlineStr">
        <is>
          <t>L100AL</t>
        </is>
      </c>
      <c r="D2" s="3" t="inlineStr">
        <is>
          <t>L110AL</t>
        </is>
      </c>
      <c r="E2" s="3" t="inlineStr">
        <is>
          <t>L120AL</t>
        </is>
      </c>
      <c r="F2" s="3" t="inlineStr">
        <is>
          <t>L130AL</t>
        </is>
      </c>
      <c r="G2" s="3" t="inlineStr">
        <is>
          <t>L140AL</t>
        </is>
      </c>
      <c r="H2" s="3" t="inlineStr">
        <is>
          <t>L150AL</t>
        </is>
      </c>
      <c r="I2" s="3" t="inlineStr">
        <is>
          <t>L155AL</t>
        </is>
      </c>
      <c r="J2" s="3" t="inlineStr">
        <is>
          <t>L160AL</t>
        </is>
      </c>
      <c r="K2" s="3" t="inlineStr">
        <is>
          <t>L170AL</t>
        </is>
      </c>
      <c r="L2" s="3" t="inlineStr">
        <is>
          <t>L200AL</t>
        </is>
      </c>
      <c r="M2" s="4" t="inlineStr">
        <is>
          <t>L202AL</t>
        </is>
      </c>
      <c r="O2" s="71" t="n"/>
      <c r="P2" s="72" t="inlineStr">
        <is>
          <t>L165AL</t>
        </is>
      </c>
      <c r="Q2" s="72" t="inlineStr">
        <is>
          <t>P100AC</t>
        </is>
      </c>
      <c r="R2" s="72" t="inlineStr">
        <is>
          <t>P105AC</t>
        </is>
      </c>
      <c r="S2" s="72" t="inlineStr">
        <is>
          <t>P110AC</t>
        </is>
      </c>
      <c r="T2" s="72" t="inlineStr">
        <is>
          <t>P140AC</t>
        </is>
      </c>
      <c r="U2" s="73" t="inlineStr">
        <is>
          <t>P150AC</t>
        </is>
      </c>
    </row>
    <row r="3">
      <c r="A3" t="n">
        <v>1</v>
      </c>
      <c r="B3" s="1" t="inlineStr">
        <is>
          <t>Jan</t>
        </is>
      </c>
      <c r="C3" s="24" t="n">
        <v>0.01</v>
      </c>
      <c r="D3" s="24" t="n">
        <v>0</v>
      </c>
      <c r="E3" s="24" t="n">
        <v>0.02</v>
      </c>
      <c r="F3" s="24" t="n">
        <v>0</v>
      </c>
      <c r="G3" s="24" t="n">
        <v>0</v>
      </c>
      <c r="H3" s="24" t="n">
        <v>1.25</v>
      </c>
      <c r="I3" s="24" t="n">
        <v>0.92</v>
      </c>
      <c r="J3" s="24" t="n">
        <v>0</v>
      </c>
      <c r="K3" s="24" t="n">
        <v>0</v>
      </c>
      <c r="L3" s="24" t="n">
        <v>0</v>
      </c>
      <c r="M3" s="7" t="n">
        <v>0</v>
      </c>
      <c r="O3" s="74" t="inlineStr">
        <is>
          <t>Jan</t>
        </is>
      </c>
      <c r="P3" s="75" t="n">
        <v>0</v>
      </c>
      <c r="Q3" s="75" t="n">
        <v>0.87</v>
      </c>
      <c r="R3" s="75" t="n">
        <v>0.83</v>
      </c>
      <c r="S3" s="75" t="n">
        <v>2.07</v>
      </c>
      <c r="T3" s="75" t="n">
        <v>0</v>
      </c>
      <c r="U3" s="76" t="n">
        <v>0</v>
      </c>
    </row>
    <row r="4">
      <c r="A4" t="n">
        <v>2</v>
      </c>
      <c r="B4" s="1" t="inlineStr">
        <is>
          <t>Feb</t>
        </is>
      </c>
      <c r="C4" s="24" t="n">
        <v>0.26</v>
      </c>
      <c r="D4" s="24" t="n">
        <v>0.18</v>
      </c>
      <c r="E4" s="24" t="n">
        <v>0.28</v>
      </c>
      <c r="F4" s="24" t="n">
        <v>0.04</v>
      </c>
      <c r="G4" s="24" t="n">
        <v>0</v>
      </c>
      <c r="H4" s="24" t="n">
        <v>2.17</v>
      </c>
      <c r="I4" s="24" t="n">
        <v>1.4</v>
      </c>
      <c r="J4" s="24" t="n">
        <v>0.14</v>
      </c>
      <c r="K4" s="24" t="n">
        <v>0.14</v>
      </c>
      <c r="L4" s="24" t="n">
        <v>0.14</v>
      </c>
      <c r="M4" s="7" t="n">
        <v>0.08</v>
      </c>
      <c r="O4" s="74" t="inlineStr">
        <is>
          <t>Feb</t>
        </is>
      </c>
      <c r="P4" s="75" t="n">
        <v>0.05</v>
      </c>
      <c r="Q4" s="75" t="n">
        <v>0.25</v>
      </c>
      <c r="R4" s="75" t="n">
        <v>0.19</v>
      </c>
      <c r="S4" s="75" t="n">
        <v>1.39</v>
      </c>
      <c r="T4" s="75" t="n">
        <v>0</v>
      </c>
      <c r="U4" s="76" t="n">
        <v>0</v>
      </c>
    </row>
    <row r="5">
      <c r="A5" t="n">
        <v>3</v>
      </c>
      <c r="B5" s="1" t="inlineStr">
        <is>
          <t>Mar</t>
        </is>
      </c>
      <c r="C5" s="24" t="n">
        <v>1.32</v>
      </c>
      <c r="D5" s="24" t="n">
        <v>1.07</v>
      </c>
      <c r="E5" s="24" t="n">
        <v>1.33</v>
      </c>
      <c r="F5" s="24" t="n">
        <v>0.48</v>
      </c>
      <c r="G5" s="24" t="n">
        <v>0.06</v>
      </c>
      <c r="H5" s="24" t="n">
        <v>3.25</v>
      </c>
      <c r="I5" s="24" t="n">
        <v>1.5</v>
      </c>
      <c r="J5" s="24" t="n">
        <v>1.48</v>
      </c>
      <c r="K5" s="24" t="n">
        <v>0.87</v>
      </c>
      <c r="L5" s="24" t="n">
        <v>0.98</v>
      </c>
      <c r="M5" s="7" t="n">
        <v>0.6899999999999999</v>
      </c>
      <c r="O5" s="74" t="inlineStr">
        <is>
          <t>Mar</t>
        </is>
      </c>
      <c r="P5" s="75" t="n">
        <v>0.92</v>
      </c>
      <c r="Q5" s="75" t="n">
        <v>0.07000000000000001</v>
      </c>
      <c r="R5" s="75" t="n">
        <v>0</v>
      </c>
      <c r="S5" s="75" t="n">
        <v>0.98</v>
      </c>
      <c r="T5" s="75" t="n">
        <v>0</v>
      </c>
      <c r="U5" s="76" t="n">
        <v>0</v>
      </c>
    </row>
    <row r="6">
      <c r="A6" t="n">
        <v>4</v>
      </c>
      <c r="B6" s="1" t="inlineStr">
        <is>
          <t>Apr</t>
        </is>
      </c>
      <c r="C6" s="24" t="n">
        <v>2.35</v>
      </c>
      <c r="D6" s="24" t="n">
        <v>2.08</v>
      </c>
      <c r="E6" s="24" t="n">
        <v>2.3</v>
      </c>
      <c r="F6" s="24" t="n">
        <v>1.21</v>
      </c>
      <c r="G6" s="24" t="n">
        <v>0.37</v>
      </c>
      <c r="H6" s="24" t="n">
        <v>3.14</v>
      </c>
      <c r="I6" s="24" t="n">
        <v>1.23</v>
      </c>
      <c r="J6" s="24" t="n">
        <v>3.35</v>
      </c>
      <c r="K6" s="24" t="n">
        <v>1.66</v>
      </c>
      <c r="L6" s="24" t="n">
        <v>2.05</v>
      </c>
      <c r="M6" s="7" t="n">
        <v>1.62</v>
      </c>
      <c r="O6" s="74" t="inlineStr">
        <is>
          <t>Apr</t>
        </is>
      </c>
      <c r="P6" s="75" t="n">
        <v>2.49</v>
      </c>
      <c r="Q6" s="75" t="n">
        <v>0.3</v>
      </c>
      <c r="R6" s="75" t="n">
        <v>0.01</v>
      </c>
      <c r="S6" s="75" t="n">
        <v>0.95</v>
      </c>
      <c r="T6" s="75" t="n">
        <v>0</v>
      </c>
      <c r="U6" s="76" t="n">
        <v>0.22</v>
      </c>
    </row>
    <row r="7">
      <c r="A7" t="n">
        <v>5</v>
      </c>
      <c r="B7" s="1" t="inlineStr">
        <is>
          <t>May</t>
        </is>
      </c>
      <c r="C7" s="24" t="n">
        <v>6.46</v>
      </c>
      <c r="D7" s="24" t="n">
        <v>6.66</v>
      </c>
      <c r="E7" s="24" t="n">
        <v>6.03</v>
      </c>
      <c r="F7" s="24" t="n">
        <v>4.16</v>
      </c>
      <c r="G7" s="24" t="n">
        <v>2.27</v>
      </c>
      <c r="H7" s="24" t="n">
        <v>6.1</v>
      </c>
      <c r="I7" s="24" t="n">
        <v>4.78</v>
      </c>
      <c r="J7" s="24" t="n">
        <v>8.35</v>
      </c>
      <c r="K7" s="24" t="n">
        <v>5.18</v>
      </c>
      <c r="L7" s="24" t="n">
        <v>7.77</v>
      </c>
      <c r="M7" s="7" t="n">
        <v>6.88</v>
      </c>
      <c r="O7" s="74" t="inlineStr">
        <is>
          <t>May</t>
        </is>
      </c>
      <c r="P7" s="75" t="n">
        <v>7.23</v>
      </c>
      <c r="Q7" s="75" t="n">
        <v>0.55</v>
      </c>
      <c r="R7" s="75" t="n">
        <v>0.05</v>
      </c>
      <c r="S7" s="75" t="n">
        <v>1.3</v>
      </c>
      <c r="T7" s="75" t="n">
        <v>0</v>
      </c>
      <c r="U7" s="76" t="n">
        <v>0.64</v>
      </c>
    </row>
    <row r="8">
      <c r="A8" t="n">
        <v>6</v>
      </c>
      <c r="B8" s="1" t="inlineStr">
        <is>
          <t>Jun</t>
        </is>
      </c>
      <c r="C8" s="24" t="n">
        <v>10.31</v>
      </c>
      <c r="D8" s="24" t="n">
        <v>11.26</v>
      </c>
      <c r="E8" s="24" t="n">
        <v>9.42</v>
      </c>
      <c r="F8" s="24" t="n">
        <v>7.07</v>
      </c>
      <c r="G8" s="24" t="n">
        <v>4.8</v>
      </c>
      <c r="H8" s="24" t="n">
        <v>9.43</v>
      </c>
      <c r="I8" s="24" t="n">
        <v>8.67</v>
      </c>
      <c r="J8" s="24" t="n">
        <v>12.38</v>
      </c>
      <c r="K8" s="24" t="n">
        <v>8.76</v>
      </c>
      <c r="L8" s="24" t="n">
        <v>14.01</v>
      </c>
      <c r="M8" s="7" t="n">
        <v>13.03</v>
      </c>
      <c r="O8" s="74" t="inlineStr">
        <is>
          <t>Jun</t>
        </is>
      </c>
      <c r="P8" s="75" t="n">
        <v>11.21</v>
      </c>
      <c r="Q8" s="75" t="n">
        <v>2.09</v>
      </c>
      <c r="R8" s="75" t="n">
        <v>1.44</v>
      </c>
      <c r="S8" s="75" t="n">
        <v>2.56</v>
      </c>
      <c r="T8" s="75" t="n">
        <v>0.23</v>
      </c>
      <c r="U8" s="76" t="n">
        <v>2.63</v>
      </c>
    </row>
    <row r="9">
      <c r="A9" t="n">
        <v>7</v>
      </c>
      <c r="B9" s="1" t="inlineStr">
        <is>
          <t>Jul</t>
        </is>
      </c>
      <c r="C9" s="24" t="n">
        <v>13.52</v>
      </c>
      <c r="D9" s="24" t="n">
        <v>15.17</v>
      </c>
      <c r="E9" s="24" t="n">
        <v>12.23</v>
      </c>
      <c r="F9" s="24" t="n">
        <v>9.460000000000001</v>
      </c>
      <c r="G9" s="24" t="n">
        <v>6.95</v>
      </c>
      <c r="H9" s="24" t="n">
        <v>12.89</v>
      </c>
      <c r="I9" s="24" t="n">
        <v>11.91</v>
      </c>
      <c r="J9" s="24" t="n">
        <v>15.42</v>
      </c>
      <c r="K9" s="24" t="n">
        <v>11.79</v>
      </c>
      <c r="L9" s="24" t="n">
        <v>19.5</v>
      </c>
      <c r="M9" s="7" t="n">
        <v>18.53</v>
      </c>
      <c r="O9" s="74" t="inlineStr">
        <is>
          <t>Jul</t>
        </is>
      </c>
      <c r="P9" s="75" t="n">
        <v>14.35</v>
      </c>
      <c r="Q9" s="75" t="n">
        <v>3.37</v>
      </c>
      <c r="R9" s="75" t="n">
        <v>2.46</v>
      </c>
      <c r="S9" s="75" t="n">
        <v>3.72</v>
      </c>
      <c r="T9" s="75" t="n">
        <v>0.68</v>
      </c>
      <c r="U9" s="76" t="n">
        <v>3.76</v>
      </c>
    </row>
    <row r="10">
      <c r="A10" t="n">
        <v>8</v>
      </c>
      <c r="B10" s="1" t="inlineStr">
        <is>
          <t>Aug</t>
        </is>
      </c>
      <c r="C10" s="24" t="n">
        <v>12</v>
      </c>
      <c r="D10" s="24" t="n">
        <v>13.3</v>
      </c>
      <c r="E10" s="24" t="n">
        <v>10.95</v>
      </c>
      <c r="F10" s="24" t="n">
        <v>8.33</v>
      </c>
      <c r="G10" s="24" t="n">
        <v>5.91</v>
      </c>
      <c r="H10" s="24" t="n">
        <v>12.36</v>
      </c>
      <c r="I10" s="24" t="n">
        <v>10.19</v>
      </c>
      <c r="J10" s="24" t="n">
        <v>13.49</v>
      </c>
      <c r="K10" s="24" t="n">
        <v>10.32</v>
      </c>
      <c r="L10" s="24" t="n">
        <v>16.78</v>
      </c>
      <c r="M10" s="7" t="n">
        <v>15.85</v>
      </c>
      <c r="O10" s="74" t="inlineStr">
        <is>
          <t>Aug</t>
        </is>
      </c>
      <c r="P10" s="75" t="n">
        <v>12.42</v>
      </c>
      <c r="Q10" s="75" t="n">
        <v>3.88</v>
      </c>
      <c r="R10" s="75" t="n">
        <v>2.12</v>
      </c>
      <c r="S10" s="75" t="n">
        <v>4.31</v>
      </c>
      <c r="T10" s="75" t="n">
        <v>0.54</v>
      </c>
      <c r="U10" s="76" t="n">
        <v>3.49</v>
      </c>
    </row>
    <row r="11">
      <c r="A11" t="n">
        <v>9</v>
      </c>
      <c r="B11" s="1" t="inlineStr">
        <is>
          <t>Sep</t>
        </is>
      </c>
      <c r="C11" s="24" t="n">
        <v>8.619999999999999</v>
      </c>
      <c r="D11" s="24" t="n">
        <v>9.19</v>
      </c>
      <c r="E11" s="24" t="n">
        <v>8.050000000000001</v>
      </c>
      <c r="F11" s="24" t="n">
        <v>5.76</v>
      </c>
      <c r="G11" s="24" t="n">
        <v>3.5</v>
      </c>
      <c r="H11" s="24" t="n">
        <v>10.54</v>
      </c>
      <c r="I11" s="24" t="n">
        <v>8.140000000000001</v>
      </c>
      <c r="J11" s="24" t="n">
        <v>9.18</v>
      </c>
      <c r="K11" s="24" t="n">
        <v>7.18</v>
      </c>
      <c r="L11" s="24" t="n">
        <v>10.96</v>
      </c>
      <c r="M11" s="7" t="n">
        <v>10.1</v>
      </c>
      <c r="O11" s="74" t="inlineStr">
        <is>
          <t>Sep</t>
        </is>
      </c>
      <c r="P11" s="75" t="n">
        <v>8.109999999999999</v>
      </c>
      <c r="Q11" s="75" t="n">
        <v>4.02</v>
      </c>
      <c r="R11" s="75" t="n">
        <v>2.39</v>
      </c>
      <c r="S11" s="75" t="n">
        <v>4.83</v>
      </c>
      <c r="T11" s="75" t="n">
        <v>0.29</v>
      </c>
      <c r="U11" s="76" t="n">
        <v>2.41</v>
      </c>
    </row>
    <row r="12">
      <c r="A12" t="n">
        <v>10</v>
      </c>
      <c r="B12" s="1" t="inlineStr">
        <is>
          <t>Oct</t>
        </is>
      </c>
      <c r="C12" s="24" t="n">
        <v>4.04</v>
      </c>
      <c r="D12" s="24" t="n">
        <v>3.95</v>
      </c>
      <c r="E12" s="24" t="n">
        <v>3.94</v>
      </c>
      <c r="F12" s="24" t="n">
        <v>2.33</v>
      </c>
      <c r="G12" s="24" t="n">
        <v>0.78</v>
      </c>
      <c r="H12" s="24" t="n">
        <v>7.09</v>
      </c>
      <c r="I12" s="24" t="n">
        <v>5.65</v>
      </c>
      <c r="J12" s="24" t="n">
        <v>3.63</v>
      </c>
      <c r="K12" s="24" t="n">
        <v>3.14</v>
      </c>
      <c r="L12" s="24" t="n">
        <v>4.26</v>
      </c>
      <c r="M12" s="7" t="n">
        <v>3.64</v>
      </c>
      <c r="O12" s="74" t="inlineStr">
        <is>
          <t>Oct</t>
        </is>
      </c>
      <c r="P12" s="75" t="n">
        <v>2.75</v>
      </c>
      <c r="Q12" s="75" t="n">
        <v>3.54</v>
      </c>
      <c r="R12" s="75" t="n">
        <v>2.91</v>
      </c>
      <c r="S12" s="75" t="n">
        <v>4.83</v>
      </c>
      <c r="T12" s="75" t="n">
        <v>0</v>
      </c>
      <c r="U12" s="76" t="n">
        <v>0.88</v>
      </c>
    </row>
    <row r="13">
      <c r="A13" t="n">
        <v>11</v>
      </c>
      <c r="B13" s="1" t="inlineStr">
        <is>
          <t>Nov</t>
        </is>
      </c>
      <c r="C13" s="24" t="n">
        <v>0.43</v>
      </c>
      <c r="D13" s="24" t="n">
        <v>0.32</v>
      </c>
      <c r="E13" s="24" t="n">
        <v>0.46</v>
      </c>
      <c r="F13" s="24" t="n">
        <v>0.09</v>
      </c>
      <c r="G13" s="24" t="n">
        <v>0</v>
      </c>
      <c r="H13" s="24" t="n">
        <v>2.87</v>
      </c>
      <c r="I13" s="24" t="n">
        <v>2.35</v>
      </c>
      <c r="J13" s="24" t="n">
        <v>0.2</v>
      </c>
      <c r="K13" s="24" t="n">
        <v>0.26</v>
      </c>
      <c r="L13" s="24" t="n">
        <v>0.26</v>
      </c>
      <c r="M13" s="7" t="n">
        <v>0.15</v>
      </c>
      <c r="O13" s="74" t="inlineStr">
        <is>
          <t>Nov</t>
        </is>
      </c>
      <c r="P13" s="75" t="n">
        <v>0.05</v>
      </c>
      <c r="Q13" s="75" t="n">
        <v>0.78</v>
      </c>
      <c r="R13" s="75" t="n">
        <v>0.73</v>
      </c>
      <c r="S13" s="75" t="n">
        <v>2.31</v>
      </c>
      <c r="T13" s="75" t="n">
        <v>0</v>
      </c>
      <c r="U13" s="76" t="n">
        <v>0</v>
      </c>
    </row>
    <row r="14" ht="13.5" customHeight="1" s="158" thickBot="1">
      <c r="A14" t="n">
        <v>12</v>
      </c>
      <c r="B14" s="1" t="inlineStr">
        <is>
          <t>Dec</t>
        </is>
      </c>
      <c r="C14" s="24" t="n">
        <v>0</v>
      </c>
      <c r="D14" s="24" t="n">
        <v>0</v>
      </c>
      <c r="E14" s="24" t="n">
        <v>0</v>
      </c>
      <c r="F14" s="24" t="n">
        <v>0</v>
      </c>
      <c r="G14" s="24" t="n">
        <v>0</v>
      </c>
      <c r="H14" s="24" t="n">
        <v>0.9399999999999999</v>
      </c>
      <c r="I14" s="24" t="n">
        <v>0.77</v>
      </c>
      <c r="J14" s="24" t="n">
        <v>0</v>
      </c>
      <c r="K14" s="24" t="n">
        <v>0</v>
      </c>
      <c r="L14" s="24" t="n">
        <v>0</v>
      </c>
      <c r="M14" s="7" t="n">
        <v>0</v>
      </c>
      <c r="O14" s="74" t="inlineStr">
        <is>
          <t>Dec</t>
        </is>
      </c>
      <c r="P14" s="75" t="n">
        <v>0</v>
      </c>
      <c r="Q14" s="75" t="n">
        <v>0.35</v>
      </c>
      <c r="R14" s="75" t="n">
        <v>0.33</v>
      </c>
      <c r="S14" s="75" t="n">
        <v>1.61</v>
      </c>
      <c r="T14" s="75" t="n">
        <v>0</v>
      </c>
      <c r="U14" s="76" t="n">
        <v>0</v>
      </c>
    </row>
    <row r="15" ht="13.5" customHeight="1" s="158" thickBot="1">
      <c r="B15" s="11" t="inlineStr">
        <is>
          <t>Tot</t>
        </is>
      </c>
      <c r="C15" s="12" t="n">
        <v>59.32</v>
      </c>
      <c r="D15" s="12" t="n">
        <v>63.16</v>
      </c>
      <c r="E15" s="12" t="n">
        <v>55.01</v>
      </c>
      <c r="F15" s="12" t="n">
        <v>38.92</v>
      </c>
      <c r="G15" s="12" t="n">
        <v>24.65</v>
      </c>
      <c r="H15" s="12" t="n">
        <v>72.04000000000001</v>
      </c>
      <c r="I15" s="12" t="n">
        <v>57.51</v>
      </c>
      <c r="J15" s="12" t="n">
        <v>67.59999999999999</v>
      </c>
      <c r="K15" s="12" t="n">
        <v>49.31</v>
      </c>
      <c r="L15" s="12" t="n">
        <v>76.70999999999999</v>
      </c>
      <c r="M15" s="13" t="n">
        <v>70.58</v>
      </c>
      <c r="O15" s="77" t="inlineStr">
        <is>
          <t>Tot</t>
        </is>
      </c>
      <c r="P15" s="78" t="n">
        <v>59.59</v>
      </c>
      <c r="Q15" s="78" t="n">
        <v>20.08</v>
      </c>
      <c r="R15" s="78" t="n">
        <v>13.45</v>
      </c>
      <c r="S15" s="78" t="n">
        <v>30.86</v>
      </c>
      <c r="T15" s="78" t="n">
        <v>1.73</v>
      </c>
      <c r="U15" s="79" t="n">
        <v>14.03</v>
      </c>
    </row>
    <row r="16" ht="13.5" customHeight="1" s="158" thickTop="1">
      <c r="A16" t="inlineStr">
        <is>
          <t>Seasonal Values:</t>
        </is>
      </c>
      <c r="B16" s="167" t="n"/>
      <c r="C16" s="24" t="n"/>
      <c r="D16" s="24" t="n"/>
      <c r="E16" s="24" t="n"/>
      <c r="F16" s="24" t="n"/>
      <c r="G16" s="24" t="n"/>
      <c r="H16" s="24" t="n"/>
      <c r="I16" s="24" t="n"/>
      <c r="J16" s="24" t="n"/>
      <c r="K16" s="24" t="n"/>
      <c r="L16" s="24" t="n"/>
      <c r="M16" s="24" t="n"/>
      <c r="O16" s="80" t="inlineStr">
        <is>
          <t>Tier 2 Results</t>
        </is>
      </c>
    </row>
    <row r="17">
      <c r="B17" s="31" t="inlineStr">
        <is>
          <t>Clg_Coeff</t>
        </is>
      </c>
      <c r="C17" s="36">
        <f>C2</f>
        <v/>
      </c>
      <c r="D17" s="36">
        <f>D2</f>
        <v/>
      </c>
      <c r="E17" s="36">
        <f>E2</f>
        <v/>
      </c>
      <c r="F17" s="36">
        <f>F2</f>
        <v/>
      </c>
      <c r="G17" s="36">
        <f>G2</f>
        <v/>
      </c>
      <c r="H17" s="36">
        <f>H2</f>
        <v/>
      </c>
      <c r="I17" s="36">
        <f>I2</f>
        <v/>
      </c>
      <c r="J17" s="36">
        <f>J2</f>
        <v/>
      </c>
      <c r="K17" s="36">
        <f>K2</f>
        <v/>
      </c>
      <c r="L17" s="36">
        <f>L2</f>
        <v/>
      </c>
      <c r="M17" s="36">
        <f>M2</f>
        <v/>
      </c>
      <c r="P17" s="36">
        <f>P2</f>
        <v/>
      </c>
      <c r="Q17" s="36">
        <f>Q2</f>
        <v/>
      </c>
      <c r="R17" s="36">
        <f>R2</f>
        <v/>
      </c>
      <c r="S17" s="36">
        <f>S2</f>
        <v/>
      </c>
      <c r="T17" s="36">
        <f>T2</f>
        <v/>
      </c>
      <c r="U17" s="36">
        <f>U2</f>
        <v/>
      </c>
    </row>
    <row r="18">
      <c r="A18" t="n">
        <v>1</v>
      </c>
      <c r="B18" s="30">
        <f>Season_Coeff!N19</f>
        <v/>
      </c>
      <c r="C18" s="26">
        <f>IF($B18*C3&gt;0,$B18*C3,"")</f>
        <v/>
      </c>
      <c r="D18" s="26">
        <f>IF($B18*D3&gt;0,$B18*D3,"")</f>
        <v/>
      </c>
      <c r="E18" s="26">
        <f>IF($B18*E3&gt;0,$B18*E3,"")</f>
        <v/>
      </c>
      <c r="F18" s="26">
        <f>IF($B18*F3&gt;0,$B18*F3,"")</f>
        <v/>
      </c>
      <c r="G18" s="26">
        <f>IF($B18*G3&gt;0,$B18*G3,"")</f>
        <v/>
      </c>
      <c r="H18" s="26">
        <f>IF($B18*H3&gt;0,$B18*H3,"")</f>
        <v/>
      </c>
      <c r="I18" s="26">
        <f>IF($B18*I3&gt;0,$B18*I3,"")</f>
        <v/>
      </c>
      <c r="J18" s="26">
        <f>IF($B18*J3&gt;0,$B18*J3,"")</f>
        <v/>
      </c>
      <c r="K18" s="26">
        <f>IF($B18*K3&gt;0,$B18*K3,"")</f>
        <v/>
      </c>
      <c r="L18" s="26">
        <f>IF($B18*L3&gt;0,$B18*L3,"")</f>
        <v/>
      </c>
      <c r="M18" s="26">
        <f>IF($B18*M3&gt;0,$B18*M3,"")</f>
        <v/>
      </c>
      <c r="P18" s="26">
        <f>IF($B18*P3&gt;0,$B18*P3,"")</f>
        <v/>
      </c>
      <c r="Q18" s="26">
        <f>IF($B18*Q3&gt;0,$B18*Q3,"")</f>
        <v/>
      </c>
      <c r="R18" s="26">
        <f>IF($B18*R3&gt;0,$B18*R3,"")</f>
        <v/>
      </c>
      <c r="S18" s="26">
        <f>IF($B18*S3&gt;0,$B18*S3,"")</f>
        <v/>
      </c>
      <c r="T18" s="26">
        <f>IF($B18*T3&gt;0,$B18*T3,"")</f>
        <v/>
      </c>
      <c r="U18" s="26">
        <f>IF($B18*U3&gt;0,$B18*U3,"")</f>
        <v/>
      </c>
    </row>
    <row r="19">
      <c r="A19" t="n">
        <v>2</v>
      </c>
      <c r="B19" s="30">
        <f>Season_Coeff!N20</f>
        <v/>
      </c>
      <c r="C19" s="26">
        <f>IF($B19*C4&gt;0,$B19*C4,"")</f>
        <v/>
      </c>
      <c r="D19" s="26">
        <f>IF($B19*D4&gt;0,$B19*D4,"")</f>
        <v/>
      </c>
      <c r="E19" s="26">
        <f>IF($B19*E4&gt;0,$B19*E4,"")</f>
        <v/>
      </c>
      <c r="F19" s="26">
        <f>IF($B19*F4&gt;0,$B19*F4,"")</f>
        <v/>
      </c>
      <c r="G19" s="26">
        <f>IF($B19*G4&gt;0,$B19*G4,"")</f>
        <v/>
      </c>
      <c r="H19" s="26">
        <f>IF($B19*H4&gt;0,$B19*H4,"")</f>
        <v/>
      </c>
      <c r="I19" s="26">
        <f>IF($B19*I4&gt;0,$B19*I4,"")</f>
        <v/>
      </c>
      <c r="J19" s="26">
        <f>IF($B19*J4&gt;0,$B19*J4,"")</f>
        <v/>
      </c>
      <c r="K19" s="26">
        <f>IF($B19*K4&gt;0,$B19*K4,"")</f>
        <v/>
      </c>
      <c r="L19" s="26">
        <f>IF($B19*L4&gt;0,$B19*L4,"")</f>
        <v/>
      </c>
      <c r="M19" s="26">
        <f>IF($B19*M4&gt;0,$B19*M4,"")</f>
        <v/>
      </c>
      <c r="P19" s="26">
        <f>IF($B19*P4&gt;0,$B19*P4,"")</f>
        <v/>
      </c>
      <c r="Q19" s="26">
        <f>IF($B19*Q4&gt;0,$B19*Q4,"")</f>
        <v/>
      </c>
      <c r="R19" s="26">
        <f>IF($B19*R4&gt;0,$B19*R4,"")</f>
        <v/>
      </c>
      <c r="S19" s="26">
        <f>IF($B19*S4&gt;0,$B19*S4,"")</f>
        <v/>
      </c>
      <c r="T19" s="26">
        <f>IF($B19*T4&gt;0,$B19*T4,"")</f>
        <v/>
      </c>
      <c r="U19" s="26">
        <f>IF($B19*U4&gt;0,$B19*U4,"")</f>
        <v/>
      </c>
    </row>
    <row r="20">
      <c r="A20" t="n">
        <v>3</v>
      </c>
      <c r="B20" s="30">
        <f>Season_Coeff!N21</f>
        <v/>
      </c>
      <c r="C20" s="26">
        <f>IF($B20*C5&gt;0,$B20*C5,"")</f>
        <v/>
      </c>
      <c r="D20" s="26">
        <f>IF($B20*D5&gt;0,$B20*D5,"")</f>
        <v/>
      </c>
      <c r="E20" s="26">
        <f>IF($B20*E5&gt;0,$B20*E5,"")</f>
        <v/>
      </c>
      <c r="F20" s="26">
        <f>IF($B20*F5&gt;0,$B20*F5,"")</f>
        <v/>
      </c>
      <c r="G20" s="26">
        <f>IF($B20*G5&gt;0,$B20*G5,"")</f>
        <v/>
      </c>
      <c r="H20" s="26">
        <f>IF($B20*H5&gt;0,$B20*H5,"")</f>
        <v/>
      </c>
      <c r="I20" s="26">
        <f>IF($B20*I5&gt;0,$B20*I5,"")</f>
        <v/>
      </c>
      <c r="J20" s="26">
        <f>IF($B20*J5&gt;0,$B20*J5,"")</f>
        <v/>
      </c>
      <c r="K20" s="26">
        <f>IF($B20*K5&gt;0,$B20*K5,"")</f>
        <v/>
      </c>
      <c r="L20" s="26">
        <f>IF($B20*L5&gt;0,$B20*L5,"")</f>
        <v/>
      </c>
      <c r="M20" s="26">
        <f>IF($B20*M5&gt;0,$B20*M5,"")</f>
        <v/>
      </c>
      <c r="P20" s="26">
        <f>IF($B20*P5&gt;0,$B20*P5,"")</f>
        <v/>
      </c>
      <c r="Q20" s="26">
        <f>IF($B20*Q5&gt;0,$B20*Q5,"")</f>
        <v/>
      </c>
      <c r="R20" s="26">
        <f>IF($B20*R5&gt;0,$B20*R5,"")</f>
        <v/>
      </c>
      <c r="S20" s="26">
        <f>IF($B20*S5&gt;0,$B20*S5,"")</f>
        <v/>
      </c>
      <c r="T20" s="26">
        <f>IF($B20*T5&gt;0,$B20*T5,"")</f>
        <v/>
      </c>
      <c r="U20" s="26">
        <f>IF($B20*U5&gt;0,$B20*U5,"")</f>
        <v/>
      </c>
    </row>
    <row r="21">
      <c r="A21" t="n">
        <v>4</v>
      </c>
      <c r="B21" s="30">
        <f>Season_Coeff!N22</f>
        <v/>
      </c>
      <c r="C21" s="26">
        <f>IF($B21*C6&gt;0,$B21*C6,"")</f>
        <v/>
      </c>
      <c r="D21" s="26">
        <f>IF($B21*D6&gt;0,$B21*D6,"")</f>
        <v/>
      </c>
      <c r="E21" s="26">
        <f>IF($B21*E6&gt;0,$B21*E6,"")</f>
        <v/>
      </c>
      <c r="F21" s="26">
        <f>IF($B21*F6&gt;0,$B21*F6,"")</f>
        <v/>
      </c>
      <c r="G21" s="26">
        <f>IF($B21*G6&gt;0,$B21*G6,"")</f>
        <v/>
      </c>
      <c r="H21" s="26">
        <f>IF($B21*H6&gt;0,$B21*H6,"")</f>
        <v/>
      </c>
      <c r="I21" s="26">
        <f>IF($B21*I6&gt;0,$B21*I6,"")</f>
        <v/>
      </c>
      <c r="J21" s="26">
        <f>IF($B21*J6&gt;0,$B21*J6,"")</f>
        <v/>
      </c>
      <c r="K21" s="26">
        <f>IF($B21*K6&gt;0,$B21*K6,"")</f>
        <v/>
      </c>
      <c r="L21" s="26">
        <f>IF($B21*L6&gt;0,$B21*L6,"")</f>
        <v/>
      </c>
      <c r="M21" s="26">
        <f>IF($B21*M6&gt;0,$B21*M6,"")</f>
        <v/>
      </c>
      <c r="P21" s="26">
        <f>IF($B21*P6&gt;0,$B21*P6,"")</f>
        <v/>
      </c>
      <c r="Q21" s="26">
        <f>IF($B21*Q6&gt;0,$B21*Q6,"")</f>
        <v/>
      </c>
      <c r="R21" s="26">
        <f>IF($B21*R6&gt;0,$B21*R6,"")</f>
        <v/>
      </c>
      <c r="S21" s="26">
        <f>IF($B21*S6&gt;0,$B21*S6,"")</f>
        <v/>
      </c>
      <c r="T21" s="26">
        <f>IF($B21*T6&gt;0,$B21*T6,"")</f>
        <v/>
      </c>
      <c r="U21" s="26">
        <f>IF($B21*U6&gt;0,$B21*U6,"")</f>
        <v/>
      </c>
    </row>
    <row r="22">
      <c r="A22" t="n">
        <v>5</v>
      </c>
      <c r="B22" s="30">
        <f>Season_Coeff!N23</f>
        <v/>
      </c>
      <c r="C22" s="26">
        <f>IF($B22*C7&gt;0,$B22*C7,"")</f>
        <v/>
      </c>
      <c r="D22" s="26">
        <f>IF($B22*D7&gt;0,$B22*D7,"")</f>
        <v/>
      </c>
      <c r="E22" s="26">
        <f>IF($B22*E7&gt;0,$B22*E7,"")</f>
        <v/>
      </c>
      <c r="F22" s="26">
        <f>IF($B22*F7&gt;0,$B22*F7,"")</f>
        <v/>
      </c>
      <c r="G22" s="26">
        <f>IF($B22*G7&gt;0,$B22*G7,"")</f>
        <v/>
      </c>
      <c r="H22" s="26">
        <f>IF($B22*H7&gt;0,$B22*H7,"")</f>
        <v/>
      </c>
      <c r="I22" s="26">
        <f>IF($B22*I7&gt;0,$B22*I7,"")</f>
        <v/>
      </c>
      <c r="J22" s="26">
        <f>IF($B22*J7&gt;0,$B22*J7,"")</f>
        <v/>
      </c>
      <c r="K22" s="26">
        <f>IF($B22*K7&gt;0,$B22*K7,"")</f>
        <v/>
      </c>
      <c r="L22" s="26">
        <f>IF($B22*L7&gt;0,$B22*L7,"")</f>
        <v/>
      </c>
      <c r="M22" s="26">
        <f>IF($B22*M7&gt;0,$B22*M7,"")</f>
        <v/>
      </c>
      <c r="P22" s="26">
        <f>IF($B22*P7&gt;0,$B22*P7,"")</f>
        <v/>
      </c>
      <c r="Q22" s="26">
        <f>IF($B22*Q7&gt;0,$B22*Q7,"")</f>
        <v/>
      </c>
      <c r="R22" s="26">
        <f>IF($B22*R7&gt;0,$B22*R7,"")</f>
        <v/>
      </c>
      <c r="S22" s="26">
        <f>IF($B22*S7&gt;0,$B22*S7,"")</f>
        <v/>
      </c>
      <c r="T22" s="26">
        <f>IF($B22*T7&gt;0,$B22*T7,"")</f>
        <v/>
      </c>
      <c r="U22" s="26">
        <f>IF($B22*U7&gt;0,$B22*U7,"")</f>
        <v/>
      </c>
    </row>
    <row r="23">
      <c r="A23" t="n">
        <v>6</v>
      </c>
      <c r="B23" s="30">
        <f>Season_Coeff!N24</f>
        <v/>
      </c>
      <c r="C23" s="26">
        <f>IF($B23*C8&gt;0,$B23*C8,"")</f>
        <v/>
      </c>
      <c r="D23" s="26">
        <f>IF($B23*D8&gt;0,$B23*D8,"")</f>
        <v/>
      </c>
      <c r="E23" s="26">
        <f>IF($B23*E8&gt;0,$B23*E8,"")</f>
        <v/>
      </c>
      <c r="F23" s="26">
        <f>IF($B23*F8&gt;0,$B23*F8,"")</f>
        <v/>
      </c>
      <c r="G23" s="26">
        <f>IF($B23*G8&gt;0,$B23*G8,"")</f>
        <v/>
      </c>
      <c r="H23" s="26">
        <f>IF($B23*H8&gt;0,$B23*H8,"")</f>
        <v/>
      </c>
      <c r="I23" s="26">
        <f>IF($B23*I8&gt;0,$B23*I8,"")</f>
        <v/>
      </c>
      <c r="J23" s="26">
        <f>IF($B23*J8&gt;0,$B23*J8,"")</f>
        <v/>
      </c>
      <c r="K23" s="26">
        <f>IF($B23*K8&gt;0,$B23*K8,"")</f>
        <v/>
      </c>
      <c r="L23" s="26">
        <f>IF($B23*L8&gt;0,$B23*L8,"")</f>
        <v/>
      </c>
      <c r="M23" s="26">
        <f>IF($B23*M8&gt;0,$B23*M8,"")</f>
        <v/>
      </c>
      <c r="P23" s="26">
        <f>IF($B23*P8&gt;0,$B23*P8,"")</f>
        <v/>
      </c>
      <c r="Q23" s="26">
        <f>IF($B23*Q8&gt;0,$B23*Q8,"")</f>
        <v/>
      </c>
      <c r="R23" s="26">
        <f>IF($B23*R8&gt;0,$B23*R8,"")</f>
        <v/>
      </c>
      <c r="S23" s="26">
        <f>IF($B23*S8&gt;0,$B23*S8,"")</f>
        <v/>
      </c>
      <c r="T23" s="26">
        <f>IF($B23*T8&gt;0,$B23*T8,"")</f>
        <v/>
      </c>
      <c r="U23" s="26">
        <f>IF($B23*U8&gt;0,$B23*U8,"")</f>
        <v/>
      </c>
    </row>
    <row r="24">
      <c r="A24" t="n">
        <v>7</v>
      </c>
      <c r="B24" s="30">
        <f>Season_Coeff!N25</f>
        <v/>
      </c>
      <c r="C24" s="26">
        <f>IF($B24*C9&gt;0,$B24*C9,"")</f>
        <v/>
      </c>
      <c r="D24" s="26">
        <f>IF($B24*D9&gt;0,$B24*D9,"")</f>
        <v/>
      </c>
      <c r="E24" s="26">
        <f>IF($B24*E9&gt;0,$B24*E9,"")</f>
        <v/>
      </c>
      <c r="F24" s="26">
        <f>IF($B24*F9&gt;0,$B24*F9,"")</f>
        <v/>
      </c>
      <c r="G24" s="26">
        <f>IF($B24*G9&gt;0,$B24*G9,"")</f>
        <v/>
      </c>
      <c r="H24" s="26">
        <f>IF($B24*H9&gt;0,$B24*H9,"")</f>
        <v/>
      </c>
      <c r="I24" s="26">
        <f>IF($B24*I9&gt;0,$B24*I9,"")</f>
        <v/>
      </c>
      <c r="J24" s="26">
        <f>IF($B24*J9&gt;0,$B24*J9,"")</f>
        <v/>
      </c>
      <c r="K24" s="26">
        <f>IF($B24*K9&gt;0,$B24*K9,"")</f>
        <v/>
      </c>
      <c r="L24" s="26">
        <f>IF($B24*L9&gt;0,$B24*L9,"")</f>
        <v/>
      </c>
      <c r="M24" s="26">
        <f>IF($B24*M9&gt;0,$B24*M9,"")</f>
        <v/>
      </c>
      <c r="P24" s="26">
        <f>IF($B24*P9&gt;0,$B24*P9,"")</f>
        <v/>
      </c>
      <c r="Q24" s="26">
        <f>IF($B24*Q9&gt;0,$B24*Q9,"")</f>
        <v/>
      </c>
      <c r="R24" s="26">
        <f>IF($B24*R9&gt;0,$B24*R9,"")</f>
        <v/>
      </c>
      <c r="S24" s="26">
        <f>IF($B24*S9&gt;0,$B24*S9,"")</f>
        <v/>
      </c>
      <c r="T24" s="26">
        <f>IF($B24*T9&gt;0,$B24*T9,"")</f>
        <v/>
      </c>
      <c r="U24" s="26">
        <f>IF($B24*U9&gt;0,$B24*U9,"")</f>
        <v/>
      </c>
    </row>
    <row r="25">
      <c r="A25" t="n">
        <v>8</v>
      </c>
      <c r="B25" s="30">
        <f>Season_Coeff!N26</f>
        <v/>
      </c>
      <c r="C25" s="26">
        <f>IF($B25*C10&gt;0,$B25*C10,"")</f>
        <v/>
      </c>
      <c r="D25" s="26">
        <f>IF($B25*D10&gt;0,$B25*D10,"")</f>
        <v/>
      </c>
      <c r="E25" s="26">
        <f>IF($B25*E10&gt;0,$B25*E10,"")</f>
        <v/>
      </c>
      <c r="F25" s="26">
        <f>IF($B25*F10&gt;0,$B25*F10,"")</f>
        <v/>
      </c>
      <c r="G25" s="26">
        <f>IF($B25*G10&gt;0,$B25*G10,"")</f>
        <v/>
      </c>
      <c r="H25" s="26">
        <f>IF($B25*H10&gt;0,$B25*H10,"")</f>
        <v/>
      </c>
      <c r="I25" s="26">
        <f>IF($B25*I10&gt;0,$B25*I10,"")</f>
        <v/>
      </c>
      <c r="J25" s="26">
        <f>IF($B25*J10&gt;0,$B25*J10,"")</f>
        <v/>
      </c>
      <c r="K25" s="26">
        <f>IF($B25*K10&gt;0,$B25*K10,"")</f>
        <v/>
      </c>
      <c r="L25" s="26">
        <f>IF($B25*L10&gt;0,$B25*L10,"")</f>
        <v/>
      </c>
      <c r="M25" s="26">
        <f>IF($B25*M10&gt;0,$B25*M10,"")</f>
        <v/>
      </c>
      <c r="P25" s="26">
        <f>IF($B25*P10&gt;0,$B25*P10,"")</f>
        <v/>
      </c>
      <c r="Q25" s="26">
        <f>IF($B25*Q10&gt;0,$B25*Q10,"")</f>
        <v/>
      </c>
      <c r="R25" s="26">
        <f>IF($B25*R10&gt;0,$B25*R10,"")</f>
        <v/>
      </c>
      <c r="S25" s="26">
        <f>IF($B25*S10&gt;0,$B25*S10,"")</f>
        <v/>
      </c>
      <c r="T25" s="26">
        <f>IF($B25*T10&gt;0,$B25*T10,"")</f>
        <v/>
      </c>
      <c r="U25" s="26">
        <f>IF($B25*U10&gt;0,$B25*U10,"")</f>
        <v/>
      </c>
    </row>
    <row r="26">
      <c r="A26" t="n">
        <v>9</v>
      </c>
      <c r="B26" s="30">
        <f>Season_Coeff!N27</f>
        <v/>
      </c>
      <c r="C26" s="26">
        <f>IF($B26*C11&gt;0,$B26*C11,"")</f>
        <v/>
      </c>
      <c r="D26" s="26">
        <f>IF($B26*D11&gt;0,$B26*D11,"")</f>
        <v/>
      </c>
      <c r="E26" s="26">
        <f>IF($B26*E11&gt;0,$B26*E11,"")</f>
        <v/>
      </c>
      <c r="F26" s="26">
        <f>IF($B26*F11&gt;0,$B26*F11,"")</f>
        <v/>
      </c>
      <c r="G26" s="26">
        <f>IF($B26*G11&gt;0,$B26*G11,"")</f>
        <v/>
      </c>
      <c r="H26" s="26">
        <f>IF($B26*H11&gt;0,$B26*H11,"")</f>
        <v/>
      </c>
      <c r="I26" s="26">
        <f>IF($B26*I11&gt;0,$B26*I11,"")</f>
        <v/>
      </c>
      <c r="J26" s="26">
        <f>IF($B26*J11&gt;0,$B26*J11,"")</f>
        <v/>
      </c>
      <c r="K26" s="26">
        <f>IF($B26*K11&gt;0,$B26*K11,"")</f>
        <v/>
      </c>
      <c r="L26" s="26">
        <f>IF($B26*L11&gt;0,$B26*L11,"")</f>
        <v/>
      </c>
      <c r="M26" s="26">
        <f>IF($B26*M11&gt;0,$B26*M11,"")</f>
        <v/>
      </c>
      <c r="P26" s="26">
        <f>IF($B26*P11&gt;0,$B26*P11,"")</f>
        <v/>
      </c>
      <c r="Q26" s="26">
        <f>IF($B26*Q11&gt;0,$B26*Q11,"")</f>
        <v/>
      </c>
      <c r="R26" s="26">
        <f>IF($B26*R11&gt;0,$B26*R11,"")</f>
        <v/>
      </c>
      <c r="S26" s="26">
        <f>IF($B26*S11&gt;0,$B26*S11,"")</f>
        <v/>
      </c>
      <c r="T26" s="26">
        <f>IF($B26*T11&gt;0,$B26*T11,"")</f>
        <v/>
      </c>
      <c r="U26" s="26">
        <f>IF($B26*U11&gt;0,$B26*U11,"")</f>
        <v/>
      </c>
    </row>
    <row r="27">
      <c r="A27" t="n">
        <v>10</v>
      </c>
      <c r="B27" s="30">
        <f>Season_Coeff!N28</f>
        <v/>
      </c>
      <c r="C27" s="26">
        <f>IF($B27*C12&gt;0,$B27*C12,"")</f>
        <v/>
      </c>
      <c r="D27" s="26">
        <f>IF($B27*D12&gt;0,$B27*D12,"")</f>
        <v/>
      </c>
      <c r="E27" s="26">
        <f>IF($B27*E12&gt;0,$B27*E12,"")</f>
        <v/>
      </c>
      <c r="F27" s="26">
        <f>IF($B27*F12&gt;0,$B27*F12,"")</f>
        <v/>
      </c>
      <c r="G27" s="26">
        <f>IF($B27*G12&gt;0,$B27*G12,"")</f>
        <v/>
      </c>
      <c r="H27" s="26">
        <f>IF($B27*H12&gt;0,$B27*H12,"")</f>
        <v/>
      </c>
      <c r="I27" s="26">
        <f>IF($B27*I12&gt;0,$B27*I12,"")</f>
        <v/>
      </c>
      <c r="J27" s="26">
        <f>IF($B27*J12&gt;0,$B27*J12,"")</f>
        <v/>
      </c>
      <c r="K27" s="26">
        <f>IF($B27*K12&gt;0,$B27*K12,"")</f>
        <v/>
      </c>
      <c r="L27" s="26">
        <f>IF($B27*L12&gt;0,$B27*L12,"")</f>
        <v/>
      </c>
      <c r="M27" s="26">
        <f>IF($B27*M12&gt;0,$B27*M12,"")</f>
        <v/>
      </c>
      <c r="P27" s="26">
        <f>IF($B27*P12&gt;0,$B27*P12,"")</f>
        <v/>
      </c>
      <c r="Q27" s="26">
        <f>IF($B27*Q12&gt;0,$B27*Q12,"")</f>
        <v/>
      </c>
      <c r="R27" s="26">
        <f>IF($B27*R12&gt;0,$B27*R12,"")</f>
        <v/>
      </c>
      <c r="S27" s="26">
        <f>IF($B27*S12&gt;0,$B27*S12,"")</f>
        <v/>
      </c>
      <c r="T27" s="26">
        <f>IF($B27*T12&gt;0,$B27*T12,"")</f>
        <v/>
      </c>
      <c r="U27" s="26">
        <f>IF($B27*U12&gt;0,$B27*U12,"")</f>
        <v/>
      </c>
    </row>
    <row r="28">
      <c r="A28" t="n">
        <v>11</v>
      </c>
      <c r="B28" s="30">
        <f>Season_Coeff!N29</f>
        <v/>
      </c>
      <c r="C28" s="26">
        <f>IF($B28*C13&gt;0,$B28*C13,"")</f>
        <v/>
      </c>
      <c r="D28" s="26">
        <f>IF($B28*D13&gt;0,$B28*D13,"")</f>
        <v/>
      </c>
      <c r="E28" s="26">
        <f>IF($B28*E13&gt;0,$B28*E13,"")</f>
        <v/>
      </c>
      <c r="F28" s="26">
        <f>IF($B28*F13&gt;0,$B28*F13,"")</f>
        <v/>
      </c>
      <c r="G28" s="26">
        <f>IF($B28*G13&gt;0,$B28*G13,"")</f>
        <v/>
      </c>
      <c r="H28" s="26">
        <f>IF($B28*H13&gt;0,$B28*H13,"")</f>
        <v/>
      </c>
      <c r="I28" s="26">
        <f>IF($B28*I13&gt;0,$B28*I13,"")</f>
        <v/>
      </c>
      <c r="J28" s="26">
        <f>IF($B28*J13&gt;0,$B28*J13,"")</f>
        <v/>
      </c>
      <c r="K28" s="26">
        <f>IF($B28*K13&gt;0,$B28*K13,"")</f>
        <v/>
      </c>
      <c r="L28" s="26">
        <f>IF($B28*L13&gt;0,$B28*L13,"")</f>
        <v/>
      </c>
      <c r="M28" s="26">
        <f>IF($B28*M13&gt;0,$B28*M13,"")</f>
        <v/>
      </c>
      <c r="P28" s="26">
        <f>IF($B28*P13&gt;0,$B28*P13,"")</f>
        <v/>
      </c>
      <c r="Q28" s="26">
        <f>IF($B28*Q13&gt;0,$B28*Q13,"")</f>
        <v/>
      </c>
      <c r="R28" s="26">
        <f>IF($B28*R13&gt;0,$B28*R13,"")</f>
        <v/>
      </c>
      <c r="S28" s="26">
        <f>IF($B28*S13&gt;0,$B28*S13,"")</f>
        <v/>
      </c>
      <c r="T28" s="26">
        <f>IF($B28*T13&gt;0,$B28*T13,"")</f>
        <v/>
      </c>
      <c r="U28" s="26">
        <f>IF($B28*U13&gt;0,$B28*U13,"")</f>
        <v/>
      </c>
    </row>
    <row r="29">
      <c r="A29" t="n">
        <v>12</v>
      </c>
      <c r="B29" s="30">
        <f>Season_Coeff!N30</f>
        <v/>
      </c>
      <c r="C29" s="26">
        <f>IF($B29*C14&gt;0,$B29*C14,"")</f>
        <v/>
      </c>
      <c r="D29" s="26">
        <f>IF($B29*D14&gt;0,$B29*D14,"")</f>
        <v/>
      </c>
      <c r="E29" s="26">
        <f>IF($B29*E14&gt;0,$B29*E14,"")</f>
        <v/>
      </c>
      <c r="F29" s="26">
        <f>IF($B29*F14&gt;0,$B29*F14,"")</f>
        <v/>
      </c>
      <c r="G29" s="26">
        <f>IF($B29*G14&gt;0,$B29*G14,"")</f>
        <v/>
      </c>
      <c r="H29" s="26">
        <f>IF($B29*H14&gt;0,$B29*H14,"")</f>
        <v/>
      </c>
      <c r="I29" s="26">
        <f>IF($B29*I14&gt;0,$B29*I14,"")</f>
        <v/>
      </c>
      <c r="J29" s="26">
        <f>IF($B29*J14&gt;0,$B29*J14,"")</f>
        <v/>
      </c>
      <c r="K29" s="26">
        <f>IF($B29*K14&gt;0,$B29*K14,"")</f>
        <v/>
      </c>
      <c r="L29" s="26">
        <f>IF($B29*L14&gt;0,$B29*L14,"")</f>
        <v/>
      </c>
      <c r="M29" s="26">
        <f>IF($B29*M14&gt;0,$B29*M14,"")</f>
        <v/>
      </c>
      <c r="P29" s="26">
        <f>IF($B29*P14&gt;0,$B29*P14,"")</f>
        <v/>
      </c>
      <c r="Q29" s="26">
        <f>IF($B29*Q14&gt;0,$B29*Q14,"")</f>
        <v/>
      </c>
      <c r="R29" s="26">
        <f>IF($B29*R14&gt;0,$B29*R14,"")</f>
        <v/>
      </c>
      <c r="S29" s="26">
        <f>IF($B29*S14&gt;0,$B29*S14,"")</f>
        <v/>
      </c>
      <c r="T29" s="26">
        <f>IF($B29*T14&gt;0,$B29*T14,"")</f>
        <v/>
      </c>
      <c r="U29" s="26">
        <f>IF($B29*U14&gt;0,$B29*U14,"")</f>
        <v/>
      </c>
    </row>
    <row r="30">
      <c r="B30" s="33" t="inlineStr">
        <is>
          <t>Tot</t>
        </is>
      </c>
      <c r="C30" s="33">
        <f>SUM(C18:C29)</f>
        <v/>
      </c>
      <c r="D30" s="33">
        <f>SUM(D18:D29)</f>
        <v/>
      </c>
      <c r="E30" s="33">
        <f>SUM(E18:E29)</f>
        <v/>
      </c>
      <c r="F30" s="33">
        <f>SUM(F18:F29)</f>
        <v/>
      </c>
      <c r="G30" s="33">
        <f>SUM(G18:G29)</f>
        <v/>
      </c>
      <c r="H30" s="33">
        <f>SUM(H18:H29)</f>
        <v/>
      </c>
      <c r="I30" s="33">
        <f>SUM(I18:I29)</f>
        <v/>
      </c>
      <c r="J30" s="33">
        <f>SUM(J18:J29)</f>
        <v/>
      </c>
      <c r="K30" s="33">
        <f>SUM(K18:K29)</f>
        <v/>
      </c>
      <c r="L30" s="33">
        <f>SUM(L18:L29)</f>
        <v/>
      </c>
      <c r="M30" s="33">
        <f>SUM(M18:M29)</f>
        <v/>
      </c>
      <c r="P30" s="33">
        <f>SUM(P18:P29)</f>
        <v/>
      </c>
      <c r="Q30" s="33">
        <f>SUM(Q18:Q29)</f>
        <v/>
      </c>
      <c r="R30" s="33">
        <f>SUM(R18:R29)</f>
        <v/>
      </c>
      <c r="S30" s="33">
        <f>SUM(S18:S29)</f>
        <v/>
      </c>
      <c r="T30" s="33">
        <f>SUM(T18:T29)</f>
        <v/>
      </c>
      <c r="U30" s="33">
        <f>SUM(U18:U29)</f>
        <v/>
      </c>
    </row>
  </sheetData>
  <mergeCells count="1">
    <mergeCell ref="O1:U1"/>
  </mergeCells>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AC68"/>
  <sheetViews>
    <sheetView workbookViewId="0">
      <pane xSplit="2" topLeftCell="C1" activePane="topRight" state="frozen"/>
      <selection pane="topRight" activeCell="A4" sqref="A4"/>
    </sheetView>
  </sheetViews>
  <sheetFormatPr baseColWidth="8" defaultRowHeight="12.75"/>
  <cols>
    <col width="16.28515625" customWidth="1" style="158" min="2" max="2"/>
  </cols>
  <sheetData>
    <row r="1" ht="15.75" customHeight="1" s="158">
      <c r="A1" s="157" t="inlineStr">
        <is>
          <t>Plot data for all charts:</t>
        </is>
      </c>
    </row>
    <row r="2">
      <c r="A2" s="172" t="inlineStr">
        <is>
          <t>Tier 1 Results:</t>
        </is>
      </c>
    </row>
    <row r="3">
      <c r="A3" t="inlineStr">
        <is>
          <t xml:space="preserve">   Heating Absolutes</t>
        </is>
      </c>
      <c r="C3" s="36">
        <f>'BLAST-HtgRes'!C2</f>
        <v/>
      </c>
      <c r="D3" s="36">
        <f>'BLAST-HtgRes'!D2</f>
        <v/>
      </c>
      <c r="E3" s="36">
        <f>'BLAST-HtgRes'!E2</f>
        <v/>
      </c>
      <c r="F3" s="36">
        <f>'BLAST-HtgRes'!F2</f>
        <v/>
      </c>
      <c r="G3" s="36">
        <f>'BLAST-HtgRes'!G2</f>
        <v/>
      </c>
      <c r="H3" s="36">
        <f>'BLAST-HtgRes'!H2</f>
        <v/>
      </c>
      <c r="I3" s="36">
        <f>'BLAST-HtgRes'!I2</f>
        <v/>
      </c>
      <c r="J3" s="36">
        <f>'BLAST-HtgRes'!J2</f>
        <v/>
      </c>
      <c r="K3" s="36">
        <f>'BLAST-HtgRes'!K2</f>
        <v/>
      </c>
      <c r="L3" s="36">
        <f>'BLAST-HtgRes'!L2</f>
        <v/>
      </c>
      <c r="M3" s="36">
        <f>'BLAST-HtgRes'!M2</f>
        <v/>
      </c>
    </row>
    <row r="4">
      <c r="B4" s="36" t="inlineStr">
        <is>
          <t>BLAST 3.0</t>
        </is>
      </c>
      <c r="C4" s="26">
        <f>SUM('BLAST-HtgRes'!C18:C29)</f>
        <v/>
      </c>
      <c r="D4" s="26">
        <f>SUM('BLAST-HtgRes'!D18:D29)</f>
        <v/>
      </c>
      <c r="E4" s="26">
        <f>SUM('BLAST-HtgRes'!E18:E29)</f>
        <v/>
      </c>
      <c r="F4" s="26">
        <f>SUM('BLAST-HtgRes'!F18:F29)</f>
        <v/>
      </c>
      <c r="G4" s="26">
        <f>SUM('BLAST-HtgRes'!G18:G29)</f>
        <v/>
      </c>
      <c r="H4" s="26">
        <f>SUM('BLAST-HtgRes'!H18:H29)</f>
        <v/>
      </c>
      <c r="I4" s="26">
        <f>SUM('BLAST-HtgRes'!I18:I29)</f>
        <v/>
      </c>
      <c r="J4" s="26">
        <f>SUM('BLAST-HtgRes'!J18:J29)</f>
        <v/>
      </c>
      <c r="K4" s="26">
        <f>SUM('BLAST-HtgRes'!K18:K29)</f>
        <v/>
      </c>
      <c r="L4" s="26">
        <f>SUM('BLAST-HtgRes'!L18:L29)</f>
        <v/>
      </c>
      <c r="M4" s="26">
        <f>SUM('BLAST-HtgRes'!M18:M29)</f>
        <v/>
      </c>
    </row>
    <row r="5">
      <c r="B5" s="36" t="inlineStr">
        <is>
          <t>DOE-2.1E</t>
        </is>
      </c>
      <c r="C5" s="26">
        <f>SUM('DOE-HtgRes'!C18:C29)</f>
        <v/>
      </c>
      <c r="D5" s="26">
        <f>SUM('DOE-HtgRes'!D18:D29)</f>
        <v/>
      </c>
      <c r="E5" s="26">
        <f>SUM('DOE-HtgRes'!E18:E29)</f>
        <v/>
      </c>
      <c r="F5" s="26">
        <f>SUM('DOE-HtgRes'!F18:F29)</f>
        <v/>
      </c>
      <c r="G5" s="26">
        <f>SUM('DOE-HtgRes'!G18:G29)</f>
        <v/>
      </c>
      <c r="H5" s="26">
        <f>SUM('DOE-HtgRes'!H18:H29)</f>
        <v/>
      </c>
      <c r="I5" s="26">
        <f>SUM('DOE-HtgRes'!I18:I29)</f>
        <v/>
      </c>
      <c r="J5" s="26">
        <f>SUM('DOE-HtgRes'!J18:J29)</f>
        <v/>
      </c>
      <c r="K5" s="26">
        <f>SUM('DOE-HtgRes'!K18:K29)</f>
        <v/>
      </c>
      <c r="L5" s="26">
        <f>SUM('DOE-HtgRes'!L18:L29)</f>
        <v/>
      </c>
      <c r="M5" s="26">
        <f>SUM('DOE-HtgRes'!M18:M29)</f>
        <v/>
      </c>
    </row>
    <row r="6">
      <c r="B6" s="36" t="inlineStr">
        <is>
          <t>SRES/SUN 5.7</t>
        </is>
      </c>
      <c r="C6" s="26">
        <f>SUM('SRES-HtgRes'!C18:C29)</f>
        <v/>
      </c>
      <c r="D6" s="26">
        <f>SUM('SRES-HtgRes'!D18:D29)</f>
        <v/>
      </c>
      <c r="E6" s="26">
        <f>SUM('SRES-HtgRes'!E18:E29)</f>
        <v/>
      </c>
      <c r="F6" s="26">
        <f>SUM('SRES-HtgRes'!F18:F29)</f>
        <v/>
      </c>
      <c r="G6" s="26">
        <f>SUM('SRES-HtgRes'!G18:G29)</f>
        <v/>
      </c>
      <c r="H6" s="26">
        <f>SUM('SRES-HtgRes'!H18:H29)</f>
        <v/>
      </c>
      <c r="I6" s="26">
        <f>SUM('SRES-HtgRes'!I18:I29)</f>
        <v/>
      </c>
      <c r="J6" s="26">
        <f>SUM('SRES-HtgRes'!J18:J29)</f>
        <v/>
      </c>
      <c r="K6" s="26">
        <f>SUM('SRES-HtgRes'!K18:K29)</f>
        <v/>
      </c>
      <c r="L6" s="26">
        <f>SUM('SRES-HtgRes'!L18:L29)</f>
        <v/>
      </c>
      <c r="M6" s="26">
        <f>SUM('SRES-HtgRes'!M18:M29)</f>
        <v/>
      </c>
    </row>
    <row r="7">
      <c r="B7" s="36">
        <f>software</f>
        <v/>
      </c>
      <c r="C7" s="26">
        <f>'Sec7-2out'!$C15</f>
        <v/>
      </c>
      <c r="D7" s="26">
        <f>'Sec7-2out'!$C16</f>
        <v/>
      </c>
      <c r="E7" s="26">
        <f>'Sec7-2out'!$C17</f>
        <v/>
      </c>
      <c r="F7" s="26">
        <f>'Sec7-2out'!$C18</f>
        <v/>
      </c>
      <c r="G7" s="26">
        <f>'Sec7-2out'!$C19</f>
        <v/>
      </c>
      <c r="H7" s="26">
        <f>'Sec7-2out'!$C20</f>
        <v/>
      </c>
      <c r="I7" s="26">
        <f>'Sec7-2out'!$C21</f>
        <v/>
      </c>
      <c r="J7" s="26">
        <f>'Sec7-2out'!$C22</f>
        <v/>
      </c>
      <c r="K7" s="26">
        <f>'Sec7-2out'!$C23</f>
        <v/>
      </c>
      <c r="L7" s="26">
        <f>'Sec7-2out'!$C24</f>
        <v/>
      </c>
      <c r="M7" s="26">
        <f>'Sec7-2out'!$C25</f>
        <v/>
      </c>
    </row>
    <row r="8">
      <c r="B8" s="36" t="n"/>
      <c r="C8" s="26" t="n"/>
      <c r="D8" s="26" t="n"/>
      <c r="E8" s="26" t="n"/>
      <c r="F8" s="26" t="n"/>
      <c r="G8" s="26" t="n"/>
      <c r="H8" s="26" t="n"/>
      <c r="I8" s="26" t="n"/>
      <c r="J8" s="26" t="n"/>
      <c r="K8" s="26" t="n"/>
      <c r="L8" s="26" t="n"/>
      <c r="M8" s="26" t="n"/>
    </row>
    <row r="9">
      <c r="B9" s="36" t="n"/>
      <c r="C9" s="36" t="inlineStr">
        <is>
          <t>L302AB</t>
        </is>
      </c>
      <c r="D9" s="36" t="inlineStr">
        <is>
          <t>L304AB</t>
        </is>
      </c>
      <c r="E9" s="36" t="inlineStr">
        <is>
          <t>L322AB</t>
        </is>
      </c>
      <c r="F9" s="36" t="inlineStr">
        <is>
          <t>L324AB</t>
        </is>
      </c>
      <c r="G9" s="19">
        <f>'BLAST-HtgRes'!N2</f>
        <v/>
      </c>
      <c r="H9" s="36">
        <f>'BLAST-HtgRes'!O2</f>
        <v/>
      </c>
      <c r="I9" s="36">
        <f>'BLAST-HtgRes'!P2</f>
        <v/>
      </c>
      <c r="J9" s="36">
        <f>'BLAST-HtgRes'!Q2</f>
        <v/>
      </c>
      <c r="K9" s="36">
        <f>'BLAST-HtgRes'!R2</f>
        <v/>
      </c>
      <c r="L9" s="36">
        <f>'BLAST-HtgRes'!S2</f>
        <v/>
      </c>
      <c r="M9" s="36">
        <f>'BLAST-HtgRes'!T2</f>
        <v/>
      </c>
      <c r="N9" s="36">
        <f>'BLAST-HtgRes'!U2</f>
        <v/>
      </c>
      <c r="O9" s="36">
        <f>'BLAST-HtgRes'!V2</f>
        <v/>
      </c>
      <c r="P9" s="36">
        <f>'BLAST-HtgRes'!W2</f>
        <v/>
      </c>
      <c r="Q9" s="36">
        <f>'BLAST-HtgRes'!X2</f>
        <v/>
      </c>
      <c r="R9" s="36">
        <f>'BLAST-HtgRes'!Y2</f>
        <v/>
      </c>
      <c r="S9" s="26" t="n"/>
      <c r="T9" s="26" t="n"/>
      <c r="U9" s="26" t="n"/>
      <c r="V9" s="26" t="n"/>
      <c r="W9" s="26" t="n"/>
      <c r="X9" s="26" t="n"/>
      <c r="Y9" s="26" t="n"/>
      <c r="Z9" s="26" t="n"/>
      <c r="AA9" s="26" t="n"/>
      <c r="AB9" s="26" t="n"/>
      <c r="AC9" s="26" t="n"/>
    </row>
    <row r="10">
      <c r="B10" s="36" t="inlineStr">
        <is>
          <t>BLAST 3.0, min</t>
        </is>
      </c>
      <c r="C10" s="26">
        <f>MIN(G10:H10)</f>
        <v/>
      </c>
      <c r="D10" s="26">
        <f>MIN(I10:J10)</f>
        <v/>
      </c>
      <c r="E10" s="26">
        <f>MIN(K10:N10)</f>
        <v/>
      </c>
      <c r="F10" s="26">
        <f>MIN(O10:R10)</f>
        <v/>
      </c>
      <c r="G10" s="20">
        <f>SUM('BLAST-HtgRes'!N18:N29)</f>
        <v/>
      </c>
      <c r="H10" s="26">
        <f>SUM('BLAST-HtgRes'!O18:O29)</f>
        <v/>
      </c>
      <c r="I10" s="26">
        <f>SUM('BLAST-HtgRes'!P18:P29)</f>
        <v/>
      </c>
      <c r="J10" s="26">
        <f>SUM('BLAST-HtgRes'!Q18:Q29)</f>
        <v/>
      </c>
      <c r="K10" s="26">
        <f>SUM('BLAST-HtgRes'!R18:R29)</f>
        <v/>
      </c>
      <c r="L10" s="26">
        <f>SUM('BLAST-HtgRes'!S18:S29)</f>
        <v/>
      </c>
      <c r="M10" s="26">
        <f>SUM('BLAST-HtgRes'!T18:T29)</f>
        <v/>
      </c>
      <c r="N10" s="26">
        <f>SUM('BLAST-HtgRes'!U18:U29)</f>
        <v/>
      </c>
      <c r="O10" s="26">
        <f>SUM('BLAST-HtgRes'!V18:V29)</f>
        <v/>
      </c>
      <c r="P10" s="26">
        <f>SUM('BLAST-HtgRes'!W18:W29)</f>
        <v/>
      </c>
      <c r="Q10" s="26">
        <f>SUM('BLAST-HtgRes'!X18:X29)</f>
        <v/>
      </c>
      <c r="R10" s="26">
        <f>SUM('BLAST-HtgRes'!Y18:Y29)</f>
        <v/>
      </c>
      <c r="S10" s="26" t="n"/>
      <c r="T10" s="26" t="n"/>
      <c r="U10" s="26" t="n"/>
      <c r="V10" s="26" t="n"/>
      <c r="W10" s="26" t="n"/>
      <c r="X10" s="26" t="n"/>
      <c r="Y10" s="26" t="n"/>
      <c r="Z10" s="26" t="n"/>
      <c r="AA10" s="26" t="n"/>
      <c r="AB10" s="26" t="n"/>
      <c r="AC10" s="26" t="n"/>
    </row>
    <row r="11">
      <c r="B11" s="36" t="inlineStr">
        <is>
          <t>BLAST 3.0, max</t>
        </is>
      </c>
      <c r="C11" s="26">
        <f>MAX(G10:H10)</f>
        <v/>
      </c>
      <c r="D11" s="26">
        <f>MAX(I10:J10)</f>
        <v/>
      </c>
      <c r="E11" s="26">
        <f>MAX(K10:N10)</f>
        <v/>
      </c>
      <c r="F11" s="26">
        <f>MAX(O10:R10)</f>
        <v/>
      </c>
      <c r="G11" s="18" t="n"/>
      <c r="S11" s="26" t="n"/>
      <c r="T11" s="26" t="n"/>
      <c r="U11" s="26" t="n"/>
      <c r="V11" s="26" t="n"/>
      <c r="W11" s="26" t="n"/>
      <c r="X11" s="26" t="n"/>
      <c r="Y11" s="26" t="n"/>
      <c r="Z11" s="26" t="n"/>
      <c r="AA11" s="26" t="n"/>
      <c r="AB11" s="26" t="n"/>
      <c r="AC11" s="26" t="n"/>
    </row>
    <row r="12">
      <c r="B12" s="36" t="inlineStr">
        <is>
          <t>DOE-2.1E, min</t>
        </is>
      </c>
      <c r="C12" s="26">
        <f>MIN(G12:H12)</f>
        <v/>
      </c>
      <c r="D12" s="26">
        <f>MIN(I12:J12)</f>
        <v/>
      </c>
      <c r="E12" s="26">
        <f>MIN(K12:N12)</f>
        <v/>
      </c>
      <c r="F12" s="26">
        <f>MIN(O12:R12)</f>
        <v/>
      </c>
      <c r="G12" s="20">
        <f>SUM('DOE-HtgRes'!N18:N29)</f>
        <v/>
      </c>
      <c r="H12" s="26">
        <f>SUM('DOE-HtgRes'!O18:O29)</f>
        <v/>
      </c>
      <c r="I12" s="26">
        <f>SUM('DOE-HtgRes'!P18:P29)</f>
        <v/>
      </c>
      <c r="J12" s="26">
        <f>SUM('DOE-HtgRes'!Q18:Q29)</f>
        <v/>
      </c>
      <c r="K12" s="26">
        <f>SUM('DOE-HtgRes'!R18:R29)</f>
        <v/>
      </c>
      <c r="L12" s="26">
        <f>SUM('DOE-HtgRes'!S18:S29)</f>
        <v/>
      </c>
      <c r="M12" s="26">
        <f>SUM('DOE-HtgRes'!T18:T29)</f>
        <v/>
      </c>
      <c r="N12" s="26">
        <f>SUM('DOE-HtgRes'!U18:U29)</f>
        <v/>
      </c>
      <c r="O12" s="26">
        <f>SUM('DOE-HtgRes'!V18:V29)</f>
        <v/>
      </c>
      <c r="P12" s="26">
        <f>SUM('DOE-HtgRes'!W18:W29)</f>
        <v/>
      </c>
      <c r="Q12" s="26">
        <f>SUM('DOE-HtgRes'!X18:X29)</f>
        <v/>
      </c>
      <c r="R12" s="26">
        <f>SUM('DOE-HtgRes'!Y18:Y29)</f>
        <v/>
      </c>
      <c r="S12" s="26" t="n"/>
      <c r="T12" s="26" t="n"/>
      <c r="U12" s="26" t="n"/>
      <c r="V12" s="26" t="n"/>
      <c r="W12" s="26" t="n"/>
      <c r="X12" s="26" t="n"/>
      <c r="Y12" s="26" t="n"/>
      <c r="Z12" s="26" t="n"/>
      <c r="AA12" s="26" t="n"/>
      <c r="AB12" s="26" t="n"/>
      <c r="AC12" s="26" t="n"/>
    </row>
    <row r="13">
      <c r="B13" s="36" t="inlineStr">
        <is>
          <t>DOE-2.1E, max</t>
        </is>
      </c>
      <c r="C13" s="26">
        <f>MAX(G12:H12)</f>
        <v/>
      </c>
      <c r="D13" s="26">
        <f>MAX(I12:J12)</f>
        <v/>
      </c>
      <c r="E13" s="26">
        <f>MAX(K12:N12)</f>
        <v/>
      </c>
      <c r="F13" s="26">
        <f>MAX(O12:R12)</f>
        <v/>
      </c>
      <c r="G13" s="18" t="n"/>
      <c r="S13" s="26" t="n"/>
      <c r="T13" s="26" t="n"/>
      <c r="U13" s="26" t="n"/>
      <c r="V13" s="26" t="n"/>
      <c r="W13" s="26" t="n"/>
      <c r="X13" s="26" t="n"/>
      <c r="Y13" s="26" t="n"/>
      <c r="Z13" s="26" t="n"/>
      <c r="AA13" s="26" t="n"/>
      <c r="AB13" s="26" t="n"/>
      <c r="AC13" s="26" t="n"/>
    </row>
    <row r="14">
      <c r="B14" s="36" t="inlineStr">
        <is>
          <t>SRES/SUN 5.7, min</t>
        </is>
      </c>
      <c r="C14" s="26">
        <f>MIN(G14:H14)</f>
        <v/>
      </c>
      <c r="D14" s="26">
        <f>MIN(I14:J14)</f>
        <v/>
      </c>
      <c r="E14" s="26">
        <f>MIN(K14:N14)</f>
        <v/>
      </c>
      <c r="F14" s="26">
        <f>MIN(O14:R14)</f>
        <v/>
      </c>
      <c r="G14" s="20">
        <f>SUM('SRES-HtgRes'!N18:N29)</f>
        <v/>
      </c>
      <c r="H14" s="26">
        <f>SUM('SRES-HtgRes'!O18:O29)</f>
        <v/>
      </c>
      <c r="I14" s="26">
        <f>SUM('SRES-HtgRes'!P18:P29)</f>
        <v/>
      </c>
      <c r="J14" s="26">
        <f>SUM('SRES-HtgRes'!Q18:Q29)</f>
        <v/>
      </c>
      <c r="K14" s="26">
        <f>SUM('SRES-HtgRes'!R18:R29)</f>
        <v/>
      </c>
      <c r="L14" s="26">
        <f>SUM('SRES-HtgRes'!S18:S29)</f>
        <v/>
      </c>
      <c r="M14" s="26">
        <f>SUM('SRES-HtgRes'!T18:T29)</f>
        <v/>
      </c>
      <c r="N14" s="26">
        <f>SUM('SRES-HtgRes'!U18:U29)</f>
        <v/>
      </c>
      <c r="O14" s="26">
        <f>SUM('SRES-HtgRes'!V18:V29)</f>
        <v/>
      </c>
      <c r="P14" s="26">
        <f>SUM('SRES-HtgRes'!W18:W29)</f>
        <v/>
      </c>
      <c r="Q14" s="26">
        <f>SUM('SRES-HtgRes'!X18:X29)</f>
        <v/>
      </c>
      <c r="R14" s="26">
        <f>SUM('SRES-HtgRes'!Y18:Y29)</f>
        <v/>
      </c>
      <c r="S14" s="26" t="n"/>
      <c r="T14" s="26" t="n"/>
      <c r="U14" s="26" t="n"/>
      <c r="V14" s="26" t="n"/>
      <c r="W14" s="26" t="n"/>
      <c r="X14" s="26" t="n"/>
      <c r="Y14" s="26" t="n"/>
      <c r="Z14" s="26" t="n"/>
      <c r="AA14" s="26" t="n"/>
      <c r="AB14" s="26" t="n"/>
      <c r="AC14" s="26" t="n"/>
    </row>
    <row r="15">
      <c r="B15" s="36" t="inlineStr">
        <is>
          <t>SRES/SUN 5.7, max</t>
        </is>
      </c>
      <c r="C15" s="26">
        <f>MAX(G14:H14)</f>
        <v/>
      </c>
      <c r="D15" s="26">
        <f>MAX(I14:J14)</f>
        <v/>
      </c>
      <c r="E15" s="26">
        <f>MAX(K14:N14)</f>
        <v/>
      </c>
      <c r="F15" s="26">
        <f>MAX(O14:R14)</f>
        <v/>
      </c>
      <c r="G15" s="18" t="n"/>
      <c r="S15" s="26" t="n"/>
      <c r="T15" s="26" t="n"/>
      <c r="U15" s="26" t="n"/>
      <c r="V15" s="26" t="n"/>
      <c r="W15" s="26" t="n"/>
      <c r="X15" s="26" t="n"/>
      <c r="Y15" s="26" t="n"/>
      <c r="Z15" s="26" t="n"/>
      <c r="AA15" s="26" t="n"/>
      <c r="AB15" s="26" t="n"/>
      <c r="AC15" s="26" t="n"/>
    </row>
    <row r="16">
      <c r="B16" s="36">
        <f>software</f>
        <v/>
      </c>
      <c r="C16" s="26">
        <f>'Sec7-2out'!$C26</f>
        <v/>
      </c>
      <c r="D16" s="26">
        <f>'Sec7-2out'!$C27</f>
        <v/>
      </c>
      <c r="E16" s="26">
        <f>'Sec7-2out'!$C28</f>
        <v/>
      </c>
      <c r="F16" s="26">
        <f>'Sec7-2out'!$C29</f>
        <v/>
      </c>
      <c r="G16" s="20" t="n"/>
      <c r="H16" s="26" t="n"/>
      <c r="I16" s="26" t="n"/>
      <c r="J16" s="26" t="n"/>
      <c r="K16" s="26" t="n"/>
      <c r="L16" s="26" t="n"/>
      <c r="M16" s="26" t="n"/>
      <c r="N16" s="26" t="n"/>
      <c r="O16" s="26" t="n"/>
      <c r="P16" s="26" t="n"/>
      <c r="Q16" s="26" t="n"/>
      <c r="R16" s="26" t="n"/>
      <c r="S16" s="26" t="n"/>
      <c r="T16" s="26" t="n"/>
      <c r="U16" s="26" t="n"/>
      <c r="V16" s="26" t="n"/>
      <c r="W16" s="26" t="n"/>
      <c r="X16" s="26" t="n"/>
      <c r="Y16" s="26" t="n"/>
      <c r="Z16" s="26" t="n"/>
      <c r="AA16" s="26" t="n"/>
      <c r="AB16" s="26" t="n"/>
      <c r="AC16" s="26" t="n"/>
    </row>
    <row r="17"/>
    <row r="18" ht="26.25" customFormat="1" customHeight="1" s="146">
      <c r="A18" s="146" t="inlineStr">
        <is>
          <t xml:space="preserve">   Heating
   Deltas</t>
        </is>
      </c>
      <c r="B18" s="16" t="n"/>
      <c r="C18" s="146" t="inlineStr">
        <is>
          <t>L110AC-L100AC</t>
        </is>
      </c>
      <c r="D18" s="146" t="inlineStr">
        <is>
          <t>L120AC-L100AC</t>
        </is>
      </c>
      <c r="E18" s="146" t="inlineStr">
        <is>
          <t>L130AC-L100AC</t>
        </is>
      </c>
      <c r="F18" s="146" t="inlineStr">
        <is>
          <t>L140AC-L100AC</t>
        </is>
      </c>
      <c r="G18" s="146" t="inlineStr">
        <is>
          <t>L150AC-L100AC</t>
        </is>
      </c>
      <c r="H18" s="146" t="inlineStr">
        <is>
          <t>L155AC-L150AC</t>
        </is>
      </c>
      <c r="I18" s="146" t="inlineStr">
        <is>
          <t>L160AC-L100AC</t>
        </is>
      </c>
      <c r="J18" s="146" t="inlineStr">
        <is>
          <t>L170AC-L100AC</t>
        </is>
      </c>
      <c r="K18" s="146" t="inlineStr">
        <is>
          <t>L200AC-L100AC</t>
        </is>
      </c>
      <c r="L18" s="146" t="inlineStr">
        <is>
          <t>L202AC-L200AC</t>
        </is>
      </c>
      <c r="R18" s="146" t="n"/>
      <c r="S18" s="146" t="n"/>
    </row>
    <row r="19">
      <c r="B19" s="36" t="inlineStr">
        <is>
          <t>BLAST 3.0</t>
        </is>
      </c>
      <c r="C19" s="26">
        <f>D4-C4</f>
        <v/>
      </c>
      <c r="D19" s="26">
        <f>E4-C4</f>
        <v/>
      </c>
      <c r="E19" s="26">
        <f>F4-C4</f>
        <v/>
      </c>
      <c r="F19" s="26">
        <f>G4-C4</f>
        <v/>
      </c>
      <c r="G19" s="26">
        <f>H4-C4</f>
        <v/>
      </c>
      <c r="H19" s="26">
        <f>I4-H4</f>
        <v/>
      </c>
      <c r="I19" s="26">
        <f>J4-C4</f>
        <v/>
      </c>
      <c r="J19" s="26">
        <f>K4-C4</f>
        <v/>
      </c>
      <c r="K19" s="26">
        <f>L4-C4</f>
        <v/>
      </c>
      <c r="L19" s="26">
        <f>M4-L4</f>
        <v/>
      </c>
    </row>
    <row r="20">
      <c r="B20" s="36" t="inlineStr">
        <is>
          <t>DOE-2.1E</t>
        </is>
      </c>
      <c r="C20" s="26">
        <f>D5-C5</f>
        <v/>
      </c>
      <c r="D20" s="26">
        <f>E5-C5</f>
        <v/>
      </c>
      <c r="E20" s="26">
        <f>F5-C5</f>
        <v/>
      </c>
      <c r="F20" s="26">
        <f>G5-C5</f>
        <v/>
      </c>
      <c r="G20" s="26">
        <f>H5-C5</f>
        <v/>
      </c>
      <c r="H20" s="26">
        <f>I5-H5</f>
        <v/>
      </c>
      <c r="I20" s="26">
        <f>J5-C5</f>
        <v/>
      </c>
      <c r="J20" s="26">
        <f>K5-C5</f>
        <v/>
      </c>
      <c r="K20" s="26">
        <f>L5-C5</f>
        <v/>
      </c>
      <c r="L20" s="26">
        <f>M5-L5</f>
        <v/>
      </c>
    </row>
    <row r="21">
      <c r="B21" s="36" t="inlineStr">
        <is>
          <t>SRES/SUN 5.7</t>
        </is>
      </c>
      <c r="C21" s="26">
        <f>D6-C6</f>
        <v/>
      </c>
      <c r="D21" s="26">
        <f>E6-C6</f>
        <v/>
      </c>
      <c r="E21" s="26">
        <f>F6-C6</f>
        <v/>
      </c>
      <c r="F21" s="26">
        <f>G6-C6</f>
        <v/>
      </c>
      <c r="G21" s="26">
        <f>H6-C6</f>
        <v/>
      </c>
      <c r="H21" s="26">
        <f>I6-H6</f>
        <v/>
      </c>
      <c r="I21" s="26">
        <f>J6-C6</f>
        <v/>
      </c>
      <c r="J21" s="26">
        <f>K6-C6</f>
        <v/>
      </c>
      <c r="K21" s="26">
        <f>L6-C6</f>
        <v/>
      </c>
      <c r="L21" s="26">
        <f>M6-L6</f>
        <v/>
      </c>
    </row>
    <row r="22">
      <c r="B22" s="36">
        <f>software</f>
        <v/>
      </c>
      <c r="C22" s="26">
        <f>D7-C7</f>
        <v/>
      </c>
      <c r="D22" s="26">
        <f>E7-C7</f>
        <v/>
      </c>
      <c r="E22" s="26">
        <f>F7-C7</f>
        <v/>
      </c>
      <c r="F22" s="26">
        <f>G7-C7</f>
        <v/>
      </c>
      <c r="G22" s="26">
        <f>H7-C7</f>
        <v/>
      </c>
      <c r="H22" s="26">
        <f>I7-H7</f>
        <v/>
      </c>
      <c r="I22" s="26">
        <f>J7-C7</f>
        <v/>
      </c>
      <c r="J22" s="26">
        <f>K7-C7</f>
        <v/>
      </c>
      <c r="K22" s="26">
        <f>L7-C7</f>
        <v/>
      </c>
      <c r="L22" s="26">
        <f>M7-L7</f>
        <v/>
      </c>
    </row>
    <row r="23">
      <c r="B23" s="36" t="n"/>
      <c r="C23" s="26" t="n"/>
      <c r="D23" s="26" t="n"/>
      <c r="E23" s="26" t="n"/>
      <c r="F23" s="26" t="n"/>
      <c r="G23" s="26" t="n"/>
      <c r="H23" s="26" t="n"/>
      <c r="I23" s="26" t="n"/>
      <c r="J23" s="26" t="n"/>
      <c r="K23" s="26" t="n"/>
      <c r="L23" s="26" t="n"/>
      <c r="M23" s="26" t="n"/>
      <c r="N23" s="26" t="n"/>
      <c r="O23" s="26" t="n"/>
      <c r="P23" s="26" t="n"/>
    </row>
    <row r="24" ht="25.5" customHeight="1" s="158">
      <c r="B24" s="36" t="n"/>
      <c r="C24" s="146" t="inlineStr">
        <is>
          <t>L302AB-L100AC</t>
        </is>
      </c>
      <c r="D24" s="146" t="inlineStr">
        <is>
          <t>L302AB-L304AB</t>
        </is>
      </c>
      <c r="E24" s="146" t="inlineStr">
        <is>
          <t>L322AB-L100AC</t>
        </is>
      </c>
      <c r="F24" s="146" t="inlineStr">
        <is>
          <t>L322AB-L324AB</t>
        </is>
      </c>
      <c r="G24" s="146" t="inlineStr">
        <is>
          <t>L302AC-L100AC</t>
        </is>
      </c>
      <c r="H24" s="146" t="inlineStr">
        <is>
          <t>L302BC-L100AC</t>
        </is>
      </c>
      <c r="I24" s="146" t="inlineStr">
        <is>
          <t>L302AC-L304AC</t>
        </is>
      </c>
      <c r="J24" s="146" t="inlineStr">
        <is>
          <t>L302BC-L304BC</t>
        </is>
      </c>
      <c r="K24" s="146" t="inlineStr">
        <is>
          <t>L322A1-L100AC</t>
        </is>
      </c>
      <c r="L24" s="146" t="inlineStr">
        <is>
          <t>L322A2-L100AC</t>
        </is>
      </c>
      <c r="M24" s="146" t="inlineStr">
        <is>
          <t>L322B1-L100AC</t>
        </is>
      </c>
      <c r="N24" s="146" t="inlineStr">
        <is>
          <t>L322B2-L100AC</t>
        </is>
      </c>
      <c r="O24" s="146" t="inlineStr">
        <is>
          <t>L322A1-L324A1</t>
        </is>
      </c>
      <c r="P24" s="146" t="inlineStr">
        <is>
          <t>L322A2-L324A2</t>
        </is>
      </c>
      <c r="Q24" s="146" t="inlineStr">
        <is>
          <t>L322B1-L324B1</t>
        </is>
      </c>
      <c r="R24" s="146" t="inlineStr">
        <is>
          <t>L322B2-L324B2</t>
        </is>
      </c>
    </row>
    <row r="25">
      <c r="B25" s="36" t="inlineStr">
        <is>
          <t>BLAST 3.0, min</t>
        </is>
      </c>
      <c r="C25" s="26">
        <f>MIN(G25:H25)</f>
        <v/>
      </c>
      <c r="D25" s="26">
        <f>MIN(I25:J25)</f>
        <v/>
      </c>
      <c r="E25" s="26">
        <f>MIN(K25:N25)</f>
        <v/>
      </c>
      <c r="F25" s="26">
        <f>MIN(O25:R25)</f>
        <v/>
      </c>
      <c r="G25" s="20">
        <f>G10-C4</f>
        <v/>
      </c>
      <c r="H25" s="26">
        <f>H10-C4</f>
        <v/>
      </c>
      <c r="I25" s="26">
        <f>G10-I10</f>
        <v/>
      </c>
      <c r="J25" s="26">
        <f>H10-J10</f>
        <v/>
      </c>
      <c r="K25" s="26">
        <f>K10-C4</f>
        <v/>
      </c>
      <c r="L25" s="26">
        <f>L10-C4</f>
        <v/>
      </c>
      <c r="M25" s="26">
        <f>M10-C4</f>
        <v/>
      </c>
      <c r="N25" s="26">
        <f>N10-C4</f>
        <v/>
      </c>
      <c r="O25" s="26">
        <f>K10-O10</f>
        <v/>
      </c>
      <c r="P25" s="26">
        <f>L10-P10</f>
        <v/>
      </c>
      <c r="Q25" s="26">
        <f>M10-Q10</f>
        <v/>
      </c>
      <c r="R25" s="26">
        <f>N10-R10</f>
        <v/>
      </c>
    </row>
    <row r="26">
      <c r="B26" s="36" t="inlineStr">
        <is>
          <t>BLAST 3.0, max</t>
        </is>
      </c>
      <c r="C26" s="26">
        <f>MAX(G25:H25)</f>
        <v/>
      </c>
      <c r="D26" s="26">
        <f>MAX(I25:J25)</f>
        <v/>
      </c>
      <c r="E26" s="26">
        <f>MAX(K25:N25)</f>
        <v/>
      </c>
      <c r="F26" s="26">
        <f>MAX(O25:R25)</f>
        <v/>
      </c>
      <c r="G26" s="20" t="n"/>
      <c r="H26" s="26" t="n"/>
      <c r="I26" s="26" t="n"/>
      <c r="J26" s="26" t="n"/>
      <c r="K26" s="26" t="n"/>
      <c r="L26" s="26" t="n"/>
      <c r="M26" s="26" t="n"/>
      <c r="N26" s="26" t="n"/>
      <c r="O26" s="26" t="n"/>
      <c r="P26" s="26" t="n"/>
    </row>
    <row r="27">
      <c r="B27" s="36" t="inlineStr">
        <is>
          <t>DOE-2.1E, min</t>
        </is>
      </c>
      <c r="C27" s="26">
        <f>MIN(G27:H27)</f>
        <v/>
      </c>
      <c r="D27" s="26">
        <f>MIN(I27:J27)</f>
        <v/>
      </c>
      <c r="E27" s="26">
        <f>MIN(K27:N27)</f>
        <v/>
      </c>
      <c r="F27" s="26">
        <f>MIN(O27:R27)</f>
        <v/>
      </c>
      <c r="G27" s="20">
        <f>G12-C5</f>
        <v/>
      </c>
      <c r="H27" s="26">
        <f>H12-C5</f>
        <v/>
      </c>
      <c r="I27" s="26">
        <f>G12-I12</f>
        <v/>
      </c>
      <c r="J27" s="26">
        <f>H12-J12</f>
        <v/>
      </c>
      <c r="K27" s="26">
        <f>K12-C5</f>
        <v/>
      </c>
      <c r="L27" s="26">
        <f>L12-C5</f>
        <v/>
      </c>
      <c r="M27" s="26">
        <f>M12-C5</f>
        <v/>
      </c>
      <c r="N27" s="26">
        <f>N12-C5</f>
        <v/>
      </c>
      <c r="O27" s="26">
        <f>K12-O12</f>
        <v/>
      </c>
      <c r="P27" s="26">
        <f>L12-P12</f>
        <v/>
      </c>
      <c r="Q27" s="26">
        <f>M12-Q12</f>
        <v/>
      </c>
      <c r="R27" s="26">
        <f>N12-R12</f>
        <v/>
      </c>
    </row>
    <row r="28">
      <c r="B28" s="36" t="inlineStr">
        <is>
          <t>DOE-2.1E, max</t>
        </is>
      </c>
      <c r="C28" s="26">
        <f>MAX(G27:H27)</f>
        <v/>
      </c>
      <c r="D28" s="26">
        <f>MAX(I27:J27)</f>
        <v/>
      </c>
      <c r="E28" s="26">
        <f>MAX(K27:N27)</f>
        <v/>
      </c>
      <c r="F28" s="26">
        <f>MAX(O27:R27)</f>
        <v/>
      </c>
      <c r="G28" s="20" t="n"/>
      <c r="H28" s="26" t="n"/>
      <c r="I28" s="26" t="n"/>
      <c r="J28" s="26" t="n"/>
      <c r="K28" s="26" t="n"/>
      <c r="L28" s="26" t="n"/>
      <c r="M28" s="26" t="n"/>
      <c r="N28" s="26" t="n"/>
      <c r="O28" s="26" t="n"/>
      <c r="P28" s="26" t="n"/>
    </row>
    <row r="29">
      <c r="B29" s="36" t="inlineStr">
        <is>
          <t>SRES/SUN 5.7, min</t>
        </is>
      </c>
      <c r="C29" s="26">
        <f>MIN(G29:H29)</f>
        <v/>
      </c>
      <c r="D29" s="26">
        <f>MIN(I29:J29)</f>
        <v/>
      </c>
      <c r="E29" s="26">
        <f>MIN(K29:N29)</f>
        <v/>
      </c>
      <c r="F29" s="26">
        <f>MIN(O29:R29)</f>
        <v/>
      </c>
      <c r="G29" s="20">
        <f>G14-C6</f>
        <v/>
      </c>
      <c r="H29" s="26">
        <f>H14-C6</f>
        <v/>
      </c>
      <c r="I29" s="26">
        <f>G14-I14</f>
        <v/>
      </c>
      <c r="J29" s="26">
        <f>H14-J14</f>
        <v/>
      </c>
      <c r="K29" s="26">
        <f>K14-C6</f>
        <v/>
      </c>
      <c r="L29" s="26">
        <f>L14-C6</f>
        <v/>
      </c>
      <c r="M29" s="26">
        <f>M14-C6</f>
        <v/>
      </c>
      <c r="N29" s="26">
        <f>N14-C6</f>
        <v/>
      </c>
      <c r="O29" s="26">
        <f>K14-O14</f>
        <v/>
      </c>
      <c r="P29" s="26">
        <f>L14-P14</f>
        <v/>
      </c>
      <c r="Q29" s="26">
        <f>M14-Q14</f>
        <v/>
      </c>
      <c r="R29" s="26">
        <f>N14-R14</f>
        <v/>
      </c>
    </row>
    <row r="30">
      <c r="B30" s="36" t="inlineStr">
        <is>
          <t>SRES/SUN 5.7, max</t>
        </is>
      </c>
      <c r="C30" s="26">
        <f>MAX(G29:H29)</f>
        <v/>
      </c>
      <c r="D30" s="26">
        <f>MAX(I29:J29)</f>
        <v/>
      </c>
      <c r="E30" s="26">
        <f>MAX(K29:N29)</f>
        <v/>
      </c>
      <c r="F30" s="26">
        <f>MAX(O29:R29)</f>
        <v/>
      </c>
      <c r="G30" s="20" t="n"/>
      <c r="H30" s="26" t="n"/>
      <c r="I30" s="26" t="n"/>
      <c r="J30" s="26" t="n"/>
      <c r="K30" s="26" t="n"/>
      <c r="L30" s="26" t="n"/>
      <c r="M30" s="26" t="n"/>
      <c r="N30" s="26" t="n"/>
      <c r="O30" s="26" t="n"/>
      <c r="P30" s="26" t="n"/>
    </row>
    <row r="31">
      <c r="B31" s="36">
        <f>software</f>
        <v/>
      </c>
      <c r="C31" s="26">
        <f>C16-C7</f>
        <v/>
      </c>
      <c r="D31" s="26">
        <f>C16-D16</f>
        <v/>
      </c>
      <c r="E31" s="26">
        <f>E16-C7</f>
        <v/>
      </c>
      <c r="F31" s="26">
        <f>E16-F16</f>
        <v/>
      </c>
      <c r="G31" s="18" t="n"/>
    </row>
    <row r="32">
      <c r="A32" s="172" t="n"/>
    </row>
    <row r="33">
      <c r="A33" t="inlineStr">
        <is>
          <t xml:space="preserve">  Cooling  Absolutes</t>
        </is>
      </c>
      <c r="C33" s="36">
        <f>'BLAST-ClgRes'!C2</f>
        <v/>
      </c>
      <c r="D33" s="36">
        <f>'BLAST-ClgRes'!D2</f>
        <v/>
      </c>
      <c r="E33" s="36">
        <f>'BLAST-ClgRes'!E2</f>
        <v/>
      </c>
      <c r="F33" s="36">
        <f>'BLAST-ClgRes'!F2</f>
        <v/>
      </c>
      <c r="G33" s="36">
        <f>'BLAST-ClgRes'!G2</f>
        <v/>
      </c>
      <c r="H33" s="36">
        <f>'BLAST-ClgRes'!H2</f>
        <v/>
      </c>
      <c r="I33" s="36">
        <f>'BLAST-ClgRes'!I2</f>
        <v/>
      </c>
      <c r="J33" s="36">
        <f>'BLAST-ClgRes'!J2</f>
        <v/>
      </c>
      <c r="K33" s="36">
        <f>'BLAST-ClgRes'!K2</f>
        <v/>
      </c>
      <c r="L33" s="36">
        <f>'BLAST-ClgRes'!L2</f>
        <v/>
      </c>
      <c r="M33" s="36">
        <f>'BLAST-ClgRes'!M2</f>
        <v/>
      </c>
      <c r="N33" s="36" t="n"/>
      <c r="O33" s="36" t="n"/>
    </row>
    <row r="34">
      <c r="B34" s="36" t="inlineStr">
        <is>
          <t>BLAST 3.0</t>
        </is>
      </c>
      <c r="C34" s="26">
        <f>SUM('BLAST-ClgRes'!C18:C29)</f>
        <v/>
      </c>
      <c r="D34" s="26">
        <f>SUM('BLAST-ClgRes'!D18:D29)</f>
        <v/>
      </c>
      <c r="E34" s="26">
        <f>SUM('BLAST-ClgRes'!E18:E29)</f>
        <v/>
      </c>
      <c r="F34" s="26">
        <f>SUM('BLAST-ClgRes'!F18:F29)</f>
        <v/>
      </c>
      <c r="G34" s="26">
        <f>SUM('BLAST-ClgRes'!G18:G29)</f>
        <v/>
      </c>
      <c r="H34" s="26">
        <f>SUM('BLAST-ClgRes'!H18:H29)</f>
        <v/>
      </c>
      <c r="I34" s="26">
        <f>SUM('BLAST-ClgRes'!I18:I29)</f>
        <v/>
      </c>
      <c r="J34" s="26">
        <f>SUM('BLAST-ClgRes'!J18:J29)</f>
        <v/>
      </c>
      <c r="K34" s="26">
        <f>SUM('BLAST-ClgRes'!K18:K29)</f>
        <v/>
      </c>
      <c r="L34" s="26">
        <f>SUM('BLAST-ClgRes'!L18:L29)</f>
        <v/>
      </c>
      <c r="M34" s="26">
        <f>SUM('BLAST-ClgRes'!M18:M29)</f>
        <v/>
      </c>
    </row>
    <row r="35">
      <c r="B35" s="36" t="inlineStr">
        <is>
          <t>DOE-2.1E</t>
        </is>
      </c>
      <c r="C35" s="26">
        <f>SUM('DOE-ClgRes'!C18:C29)</f>
        <v/>
      </c>
      <c r="D35" s="26">
        <f>SUM('DOE-ClgRes'!D18:D29)</f>
        <v/>
      </c>
      <c r="E35" s="26">
        <f>SUM('DOE-ClgRes'!E18:E29)</f>
        <v/>
      </c>
      <c r="F35" s="26">
        <f>SUM('DOE-ClgRes'!F18:F29)</f>
        <v/>
      </c>
      <c r="G35" s="26">
        <f>SUM('DOE-ClgRes'!G18:G29)</f>
        <v/>
      </c>
      <c r="H35" s="26">
        <f>SUM('DOE-ClgRes'!H18:H29)</f>
        <v/>
      </c>
      <c r="I35" s="26">
        <f>SUM('DOE-ClgRes'!I18:I29)</f>
        <v/>
      </c>
      <c r="J35" s="26">
        <f>SUM('DOE-ClgRes'!J18:J29)</f>
        <v/>
      </c>
      <c r="K35" s="26">
        <f>SUM('DOE-ClgRes'!K18:K29)</f>
        <v/>
      </c>
      <c r="L35" s="26">
        <f>SUM('DOE-ClgRes'!L18:L29)</f>
        <v/>
      </c>
      <c r="M35" s="26">
        <f>SUM('DOE-ClgRes'!M18:M29)</f>
        <v/>
      </c>
    </row>
    <row r="36">
      <c r="B36" s="36" t="inlineStr">
        <is>
          <t>SRES/SUN 5.7</t>
        </is>
      </c>
      <c r="C36" s="26">
        <f>SUM('SRES-ClgRes'!C18:C29)</f>
        <v/>
      </c>
      <c r="D36" s="26">
        <f>SUM('SRES-ClgRes'!D18:D29)</f>
        <v/>
      </c>
      <c r="E36" s="26">
        <f>SUM('SRES-ClgRes'!E18:E29)</f>
        <v/>
      </c>
      <c r="F36" s="26">
        <f>SUM('SRES-ClgRes'!F18:F29)</f>
        <v/>
      </c>
      <c r="G36" s="26">
        <f>SUM('SRES-ClgRes'!G18:G29)</f>
        <v/>
      </c>
      <c r="H36" s="26">
        <f>SUM('SRES-ClgRes'!H18:H29)</f>
        <v/>
      </c>
      <c r="I36" s="26">
        <f>SUM('SRES-ClgRes'!I18:I29)</f>
        <v/>
      </c>
      <c r="J36" s="26">
        <f>SUM('SRES-ClgRes'!J18:J29)</f>
        <v/>
      </c>
      <c r="K36" s="26">
        <f>SUM('SRES-ClgRes'!K18:K29)</f>
        <v/>
      </c>
      <c r="L36" s="26">
        <f>SUM('SRES-ClgRes'!L18:L29)</f>
        <v/>
      </c>
      <c r="M36" s="26">
        <f>SUM('SRES-ClgRes'!M18:M29)</f>
        <v/>
      </c>
    </row>
    <row r="37">
      <c r="B37" s="36">
        <f>software</f>
        <v/>
      </c>
      <c r="C37" s="26">
        <f>'Sec7-2out'!$F15</f>
        <v/>
      </c>
      <c r="D37" s="26">
        <f>'Sec7-2out'!$F16</f>
        <v/>
      </c>
      <c r="E37" s="26">
        <f>'Sec7-2out'!$F17</f>
        <v/>
      </c>
      <c r="F37" s="26">
        <f>'Sec7-2out'!$F18</f>
        <v/>
      </c>
      <c r="G37" s="26">
        <f>'Sec7-2out'!$F19</f>
        <v/>
      </c>
      <c r="H37" s="26">
        <f>'Sec7-2out'!$F20</f>
        <v/>
      </c>
      <c r="I37" s="26">
        <f>'Sec7-2out'!$F21</f>
        <v/>
      </c>
      <c r="J37" s="26">
        <f>'Sec7-2out'!$F22</f>
        <v/>
      </c>
      <c r="K37" s="26">
        <f>'Sec7-2out'!$F23</f>
        <v/>
      </c>
      <c r="L37" s="26">
        <f>'Sec7-2out'!$F24</f>
        <v/>
      </c>
      <c r="M37" s="26">
        <f>'Sec7-2out'!$F25</f>
        <v/>
      </c>
    </row>
    <row r="39" ht="25.5" customHeight="1" s="158">
      <c r="A39" s="146" t="inlineStr">
        <is>
          <t xml:space="preserve">   Cooling
   Deltas</t>
        </is>
      </c>
      <c r="C39" s="146" t="inlineStr">
        <is>
          <t>L110AL-L100AL</t>
        </is>
      </c>
      <c r="D39" s="146" t="inlineStr">
        <is>
          <t>L120AL-L100AL</t>
        </is>
      </c>
      <c r="E39" s="146" t="inlineStr">
        <is>
          <t>L130AL-L100AL</t>
        </is>
      </c>
      <c r="F39" s="146" t="inlineStr">
        <is>
          <t>L140AL-L100AL</t>
        </is>
      </c>
      <c r="G39" s="146" t="inlineStr">
        <is>
          <t>L150AL-L100AL</t>
        </is>
      </c>
      <c r="H39" s="146" t="inlineStr">
        <is>
          <t>L155AL-L150AL</t>
        </is>
      </c>
      <c r="I39" s="146" t="inlineStr">
        <is>
          <t>L160AL-L100AL</t>
        </is>
      </c>
      <c r="J39" s="146" t="inlineStr">
        <is>
          <t>L170AL-L100AL</t>
        </is>
      </c>
      <c r="K39" s="146" t="inlineStr">
        <is>
          <t>L200AL-L100AL</t>
        </is>
      </c>
      <c r="L39" s="146" t="inlineStr">
        <is>
          <t>L202AL-L200AL</t>
        </is>
      </c>
    </row>
    <row r="40">
      <c r="B40" s="36" t="inlineStr">
        <is>
          <t>BLAST 3.0</t>
        </is>
      </c>
      <c r="C40">
        <f>D34-C34</f>
        <v/>
      </c>
      <c r="D40">
        <f>E34-C34</f>
        <v/>
      </c>
      <c r="E40">
        <f>F34-C34</f>
        <v/>
      </c>
      <c r="F40">
        <f>G34-C34</f>
        <v/>
      </c>
      <c r="G40">
        <f>H34-C34</f>
        <v/>
      </c>
      <c r="H40">
        <f>I34-H34</f>
        <v/>
      </c>
      <c r="I40">
        <f>J34-C34</f>
        <v/>
      </c>
      <c r="J40">
        <f>K34-C34</f>
        <v/>
      </c>
      <c r="K40">
        <f>L34-C34</f>
        <v/>
      </c>
      <c r="L40">
        <f>M34-L34</f>
        <v/>
      </c>
    </row>
    <row r="41">
      <c r="B41" s="36" t="inlineStr">
        <is>
          <t>DOE-2.1E</t>
        </is>
      </c>
      <c r="C41">
        <f>D35-C35</f>
        <v/>
      </c>
      <c r="D41">
        <f>E35-C35</f>
        <v/>
      </c>
      <c r="E41">
        <f>F35-C35</f>
        <v/>
      </c>
      <c r="F41">
        <f>G35-C35</f>
        <v/>
      </c>
      <c r="G41">
        <f>H35-C35</f>
        <v/>
      </c>
      <c r="H41">
        <f>I35-H35</f>
        <v/>
      </c>
      <c r="I41">
        <f>J35-C35</f>
        <v/>
      </c>
      <c r="J41">
        <f>K35-C35</f>
        <v/>
      </c>
      <c r="K41">
        <f>L35-C35</f>
        <v/>
      </c>
      <c r="L41">
        <f>M35-L35</f>
        <v/>
      </c>
    </row>
    <row r="42">
      <c r="B42" s="36" t="inlineStr">
        <is>
          <t>SRES/SUN 5.7</t>
        </is>
      </c>
      <c r="C42">
        <f>D36-C36</f>
        <v/>
      </c>
      <c r="D42">
        <f>E36-C36</f>
        <v/>
      </c>
      <c r="E42">
        <f>F36-C36</f>
        <v/>
      </c>
      <c r="F42">
        <f>G36-C36</f>
        <v/>
      </c>
      <c r="G42">
        <f>H36-C36</f>
        <v/>
      </c>
      <c r="H42">
        <f>I36-H36</f>
        <v/>
      </c>
      <c r="I42">
        <f>J36-C36</f>
        <v/>
      </c>
      <c r="J42">
        <f>K36-C36</f>
        <v/>
      </c>
      <c r="K42">
        <f>L36-C36</f>
        <v/>
      </c>
      <c r="L42">
        <f>M36-L36</f>
        <v/>
      </c>
    </row>
    <row r="43">
      <c r="B43" s="36">
        <f>software</f>
        <v/>
      </c>
      <c r="C43">
        <f>D37-C37</f>
        <v/>
      </c>
      <c r="D43">
        <f>E37-C37</f>
        <v/>
      </c>
      <c r="E43">
        <f>F37-C37</f>
        <v/>
      </c>
      <c r="F43">
        <f>G37-C37</f>
        <v/>
      </c>
      <c r="G43">
        <f>H37-C37</f>
        <v/>
      </c>
      <c r="H43">
        <f>I37-H37</f>
        <v/>
      </c>
      <c r="I43">
        <f>J37-C37</f>
        <v/>
      </c>
      <c r="J43">
        <f>K37-C37</f>
        <v/>
      </c>
      <c r="K43">
        <f>L37-C37</f>
        <v/>
      </c>
      <c r="L43">
        <f>M37-L37</f>
        <v/>
      </c>
    </row>
    <row r="45">
      <c r="A45" s="172" t="inlineStr">
        <is>
          <t>Tier 2 Results</t>
        </is>
      </c>
    </row>
    <row r="46">
      <c r="A46" s="81" t="inlineStr">
        <is>
          <t xml:space="preserve">    Heating Absolutes</t>
        </is>
      </c>
      <c r="C46" s="36">
        <f>'BLAST-HtgRes'!AB2</f>
        <v/>
      </c>
      <c r="D46" s="36">
        <f>'BLAST-HtgRes'!AC2</f>
        <v/>
      </c>
      <c r="E46" s="36">
        <f>'BLAST-HtgRes'!AD2</f>
        <v/>
      </c>
      <c r="F46" s="36">
        <f>'BLAST-HtgRes'!AE2</f>
        <v/>
      </c>
      <c r="G46" s="36">
        <f>'BLAST-HtgRes'!AF2</f>
        <v/>
      </c>
      <c r="H46" s="36">
        <f>'BLAST-HtgRes'!AG2</f>
        <v/>
      </c>
      <c r="I46" s="36" t="n"/>
      <c r="J46" s="36" t="n"/>
      <c r="K46" s="36" t="n"/>
      <c r="L46" s="36" t="n"/>
    </row>
    <row r="47">
      <c r="B47" s="36" t="inlineStr">
        <is>
          <t>BLAST 3.0</t>
        </is>
      </c>
      <c r="C47" s="26">
        <f>'BLAST-HtgRes'!AB30</f>
        <v/>
      </c>
      <c r="D47" s="26">
        <f>'BLAST-HtgRes'!AC30</f>
        <v/>
      </c>
      <c r="E47" s="26">
        <f>'BLAST-HtgRes'!AD30</f>
        <v/>
      </c>
      <c r="F47" s="26">
        <f>'BLAST-HtgRes'!AE30</f>
        <v/>
      </c>
      <c r="G47" s="26">
        <f>'BLAST-HtgRes'!AF30</f>
        <v/>
      </c>
      <c r="H47" s="26">
        <f>'BLAST-HtgRes'!AG30</f>
        <v/>
      </c>
    </row>
    <row r="48">
      <c r="B48" s="36" t="inlineStr">
        <is>
          <t>DOE-2.1E</t>
        </is>
      </c>
      <c r="C48" s="26">
        <f>'DOE-HtgRes'!AB30</f>
        <v/>
      </c>
      <c r="D48" s="26">
        <f>'DOE-HtgRes'!AC30</f>
        <v/>
      </c>
      <c r="E48" s="26">
        <f>'DOE-HtgRes'!AD30</f>
        <v/>
      </c>
      <c r="F48" s="26">
        <f>'DOE-HtgRes'!AE30</f>
        <v/>
      </c>
      <c r="G48" s="26">
        <f>'DOE-HtgRes'!AF30</f>
        <v/>
      </c>
      <c r="H48" s="26">
        <f>'DOE-HtgRes'!AG30</f>
        <v/>
      </c>
    </row>
    <row r="49">
      <c r="B49" s="36" t="inlineStr">
        <is>
          <t>SRES/SUN 5.7</t>
        </is>
      </c>
      <c r="C49" s="26">
        <f>'SRES-HtgRes'!AB30</f>
        <v/>
      </c>
      <c r="D49" s="26">
        <f>'SRES-HtgRes'!AC30</f>
        <v/>
      </c>
      <c r="E49" s="26">
        <f>'SRES-HtgRes'!AD30</f>
        <v/>
      </c>
      <c r="F49" s="26">
        <f>'SRES-HtgRes'!AE30</f>
        <v/>
      </c>
      <c r="G49" s="26">
        <f>'SRES-HtgRes'!AF30</f>
        <v/>
      </c>
      <c r="H49" s="26">
        <f>'SRES-HtgRes'!AG30</f>
        <v/>
      </c>
    </row>
    <row r="50">
      <c r="B50" s="36">
        <f>software</f>
        <v/>
      </c>
      <c r="C50" s="26">
        <f>'Sec7-2out'!J15</f>
        <v/>
      </c>
      <c r="D50" s="26">
        <f>'Sec7-2out'!J16</f>
        <v/>
      </c>
      <c r="E50" s="26">
        <f>'Sec7-2out'!J17</f>
        <v/>
      </c>
      <c r="F50" s="26">
        <f>'Sec7-2out'!J18</f>
        <v/>
      </c>
      <c r="G50" s="26">
        <f>'Sec7-2out'!J19</f>
        <v/>
      </c>
      <c r="H50" s="26">
        <f>'Sec7-2out'!J20</f>
        <v/>
      </c>
    </row>
    <row r="52" ht="25.5" customHeight="1" s="158">
      <c r="A52" s="146" t="inlineStr">
        <is>
          <t xml:space="preserve">   Heating
   Deltas</t>
        </is>
      </c>
      <c r="B52" s="16" t="n"/>
      <c r="C52" s="146" t="inlineStr">
        <is>
          <t>L165AC-L160AC</t>
        </is>
      </c>
      <c r="D52" s="146" t="inlineStr">
        <is>
          <t>P105AC-P100AC</t>
        </is>
      </c>
      <c r="E52" s="146" t="inlineStr">
        <is>
          <t>P110AC-P100AC</t>
        </is>
      </c>
      <c r="F52" s="146" t="inlineStr">
        <is>
          <t>P140AC-P100AC</t>
        </is>
      </c>
      <c r="G52" s="146" t="inlineStr">
        <is>
          <t>P150AC-P100AC</t>
        </is>
      </c>
      <c r="H52" s="146" t="n"/>
    </row>
    <row r="53">
      <c r="B53" s="36" t="inlineStr">
        <is>
          <t>BLAST 3.0</t>
        </is>
      </c>
      <c r="C53" s="26">
        <f>C47-J4</f>
        <v/>
      </c>
      <c r="D53" s="26">
        <f>E47-D47</f>
        <v/>
      </c>
      <c r="E53" s="26">
        <f>F47-D47</f>
        <v/>
      </c>
      <c r="F53" s="26">
        <f>G47-D47</f>
        <v/>
      </c>
      <c r="G53" s="26">
        <f>H47-D47</f>
        <v/>
      </c>
    </row>
    <row r="54">
      <c r="B54" s="36" t="inlineStr">
        <is>
          <t>DOE-2.1E</t>
        </is>
      </c>
      <c r="C54" s="26">
        <f>C48-J5</f>
        <v/>
      </c>
      <c r="D54" s="26">
        <f>E48-D48</f>
        <v/>
      </c>
      <c r="E54" s="26">
        <f>F48-D48</f>
        <v/>
      </c>
      <c r="F54" s="26">
        <f>G48-D48</f>
        <v/>
      </c>
      <c r="G54" s="26">
        <f>H48-D48</f>
        <v/>
      </c>
    </row>
    <row r="55">
      <c r="B55" s="36" t="inlineStr">
        <is>
          <t>SRES/SUN 5.7</t>
        </is>
      </c>
      <c r="C55" s="26">
        <f>C49-J6</f>
        <v/>
      </c>
      <c r="D55" s="26">
        <f>E49-D49</f>
        <v/>
      </c>
      <c r="E55" s="26">
        <f>F49-D49</f>
        <v/>
      </c>
      <c r="F55" s="26">
        <f>G49-D49</f>
        <v/>
      </c>
      <c r="G55" s="26">
        <f>H49-D49</f>
        <v/>
      </c>
    </row>
    <row r="56">
      <c r="B56" s="36">
        <f>software</f>
        <v/>
      </c>
      <c r="C56" s="26">
        <f>'Sec7-2out'!J15-'Sec7-2out'!C22</f>
        <v/>
      </c>
      <c r="D56" s="26">
        <f>'Sec7-2out'!J17-'Sec7-2out'!J16</f>
        <v/>
      </c>
      <c r="E56" s="26">
        <f>'Sec7-2out'!J18-'Sec7-2out'!J16</f>
        <v/>
      </c>
      <c r="F56" s="26">
        <f>'Sec7-2out'!J19-'Sec7-2out'!J16</f>
        <v/>
      </c>
      <c r="G56" s="26">
        <f>'Sec7-2out'!J20-'Sec7-2out'!J16</f>
        <v/>
      </c>
    </row>
    <row r="58">
      <c r="A58" s="81" t="inlineStr">
        <is>
          <t xml:space="preserve">    Cooling Absolutes</t>
        </is>
      </c>
      <c r="C58" s="36">
        <f>'BLAST-ClgRes'!P2</f>
        <v/>
      </c>
      <c r="D58" s="36">
        <f>'BLAST-ClgRes'!Q2</f>
        <v/>
      </c>
      <c r="E58" s="36">
        <f>'BLAST-ClgRes'!R2</f>
        <v/>
      </c>
      <c r="F58" s="36">
        <f>'BLAST-ClgRes'!S2</f>
        <v/>
      </c>
      <c r="G58" s="36">
        <f>'BLAST-ClgRes'!T2</f>
        <v/>
      </c>
      <c r="H58" s="36">
        <f>'BLAST-ClgRes'!U2</f>
        <v/>
      </c>
      <c r="I58" s="36" t="n"/>
    </row>
    <row r="59">
      <c r="B59" s="36" t="inlineStr">
        <is>
          <t>BLAST 3.0</t>
        </is>
      </c>
      <c r="C59" s="26">
        <f>'BLAST-ClgRes'!P30</f>
        <v/>
      </c>
      <c r="D59" s="26">
        <f>'BLAST-ClgRes'!Q30</f>
        <v/>
      </c>
      <c r="E59" s="26">
        <f>'BLAST-ClgRes'!R30</f>
        <v/>
      </c>
      <c r="F59" s="26">
        <f>'BLAST-ClgRes'!S30</f>
        <v/>
      </c>
      <c r="G59" s="26">
        <f>'BLAST-ClgRes'!T30</f>
        <v/>
      </c>
      <c r="H59" s="26">
        <f>'BLAST-ClgRes'!U30</f>
        <v/>
      </c>
    </row>
    <row r="60">
      <c r="B60" s="36" t="inlineStr">
        <is>
          <t>DOE-2.1E</t>
        </is>
      </c>
      <c r="C60" s="26">
        <f>'DOE-ClgRes'!P30</f>
        <v/>
      </c>
      <c r="D60" s="26">
        <f>'DOE-ClgRes'!Q30</f>
        <v/>
      </c>
      <c r="E60" s="26">
        <f>'DOE-ClgRes'!R30</f>
        <v/>
      </c>
      <c r="F60" s="26">
        <f>'DOE-ClgRes'!S30</f>
        <v/>
      </c>
      <c r="G60" s="26">
        <f>'DOE-ClgRes'!T30</f>
        <v/>
      </c>
      <c r="H60" s="26">
        <f>'DOE-ClgRes'!U30</f>
        <v/>
      </c>
    </row>
    <row r="61">
      <c r="B61" s="36" t="inlineStr">
        <is>
          <t>SRES/SUN 5.7</t>
        </is>
      </c>
      <c r="C61" s="26">
        <f>'SRES-ClgRes'!P30</f>
        <v/>
      </c>
      <c r="D61" s="26">
        <f>'SRES-ClgRes'!Q30</f>
        <v/>
      </c>
      <c r="E61" s="26">
        <f>'SRES-ClgRes'!R30</f>
        <v/>
      </c>
      <c r="F61" s="26">
        <f>'SRES-ClgRes'!S30</f>
        <v/>
      </c>
      <c r="G61" s="26">
        <f>'SRES-ClgRes'!T30</f>
        <v/>
      </c>
      <c r="H61" s="26">
        <f>'SRES-ClgRes'!U30</f>
        <v/>
      </c>
    </row>
    <row r="62">
      <c r="B62" s="36">
        <f>software</f>
        <v/>
      </c>
      <c r="C62" s="26">
        <f>'Sec7-2out'!M15</f>
        <v/>
      </c>
      <c r="D62" s="26">
        <f>'Sec7-2out'!M16</f>
        <v/>
      </c>
      <c r="E62" s="26">
        <f>'Sec7-2out'!M17</f>
        <v/>
      </c>
      <c r="F62" s="26">
        <f>'Sec7-2out'!M18</f>
        <v/>
      </c>
      <c r="G62" s="26">
        <f>'Sec7-2out'!M19</f>
        <v/>
      </c>
      <c r="H62" s="26">
        <f>'Sec7-2out'!M20</f>
        <v/>
      </c>
    </row>
    <row r="64" ht="25.5" customHeight="1" s="158">
      <c r="A64" s="146" t="inlineStr">
        <is>
          <t xml:space="preserve">   Cooling
   Deltas</t>
        </is>
      </c>
      <c r="B64" s="16" t="n"/>
      <c r="C64" s="146" t="inlineStr">
        <is>
          <t>L165AL-L160AL</t>
        </is>
      </c>
      <c r="D64" s="146" t="inlineStr">
        <is>
          <t>P105AC-P100AC</t>
        </is>
      </c>
      <c r="E64" s="146" t="inlineStr">
        <is>
          <t>P110AC-P100AC</t>
        </is>
      </c>
      <c r="F64" s="146" t="inlineStr">
        <is>
          <t>P140AC-P100AC</t>
        </is>
      </c>
      <c r="G64" s="146" t="inlineStr">
        <is>
          <t>P150AC-P100AC</t>
        </is>
      </c>
    </row>
    <row r="65">
      <c r="B65" s="36" t="inlineStr">
        <is>
          <t>BLAST 3.0</t>
        </is>
      </c>
      <c r="C65" s="26">
        <f>C59-J34</f>
        <v/>
      </c>
      <c r="D65" s="26">
        <f>E59-D59</f>
        <v/>
      </c>
      <c r="E65" s="26">
        <f>F59-D59</f>
        <v/>
      </c>
      <c r="F65" s="26">
        <f>G59-D59</f>
        <v/>
      </c>
      <c r="G65" s="26">
        <f>H59-D59</f>
        <v/>
      </c>
    </row>
    <row r="66">
      <c r="B66" s="36" t="inlineStr">
        <is>
          <t>DOE-2.1E</t>
        </is>
      </c>
      <c r="C66" s="26">
        <f>C60-J35</f>
        <v/>
      </c>
      <c r="D66" s="26">
        <f>E60-D60</f>
        <v/>
      </c>
      <c r="E66" s="26">
        <f>F60-D60</f>
        <v/>
      </c>
      <c r="F66" s="26">
        <f>G60-D60</f>
        <v/>
      </c>
      <c r="G66" s="26">
        <f>H60-D60</f>
        <v/>
      </c>
    </row>
    <row r="67">
      <c r="B67" s="36" t="inlineStr">
        <is>
          <t>SRES/SUN 5.7</t>
        </is>
      </c>
      <c r="C67" s="26">
        <f>C61-J36</f>
        <v/>
      </c>
      <c r="D67" s="26">
        <f>E61-D61</f>
        <v/>
      </c>
      <c r="E67" s="26">
        <f>F61-D61</f>
        <v/>
      </c>
      <c r="F67" s="26">
        <f>G61-D61</f>
        <v/>
      </c>
      <c r="G67" s="26">
        <f>H61-D61</f>
        <v/>
      </c>
    </row>
    <row r="68">
      <c r="B68" s="36">
        <f>software</f>
        <v/>
      </c>
      <c r="C68" s="26">
        <f>'Sec7-2out'!M15-'Sec7-2out'!F22</f>
        <v/>
      </c>
      <c r="D68" s="26">
        <f>'Sec7-2out'!M17-'Sec7-2out'!M16</f>
        <v/>
      </c>
      <c r="E68" s="26">
        <f>'Sec7-2out'!M18-'Sec7-2out'!M16</f>
        <v/>
      </c>
      <c r="F68" s="26">
        <f>'Sec7-2out'!M19-'Sec7-2out'!M16</f>
        <v/>
      </c>
      <c r="G68" s="26">
        <f>'Sec7-2out'!M20-'Sec7-2out'!M16</f>
        <v/>
      </c>
    </row>
  </sheetData>
  <mergeCells count="4">
    <mergeCell ref="A32:B32"/>
    <mergeCell ref="A2:B2"/>
    <mergeCell ref="A1:B1"/>
    <mergeCell ref="A45:B45"/>
  </mergeCells>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N30"/>
  <sheetViews>
    <sheetView workbookViewId="0">
      <selection activeCell="A1" sqref="A1:N1"/>
    </sheetView>
  </sheetViews>
  <sheetFormatPr baseColWidth="8" defaultRowHeight="12.75"/>
  <cols>
    <col width="8.140625" customWidth="1" style="158" min="1" max="2"/>
    <col width="10.5703125" customWidth="1" style="158" min="3" max="3"/>
    <col width="3.28515625" customWidth="1" style="158" min="4" max="4"/>
    <col width="7.140625" customWidth="1" style="158" min="7" max="7"/>
    <col width="6.5703125" customWidth="1" style="158" min="8" max="9"/>
    <col width="7.7109375" customWidth="1" style="158" min="10" max="13"/>
    <col width="12.85546875" customWidth="1" style="158" min="14" max="14"/>
  </cols>
  <sheetData>
    <row r="1">
      <c r="A1" s="165" t="inlineStr">
        <is>
          <t>Any day of the year with interpolation</t>
        </is>
      </c>
    </row>
    <row r="2">
      <c r="A2" s="103" t="inlineStr">
        <is>
          <t>Heating Season Coefficients (based on Julian date)</t>
        </is>
      </c>
      <c r="B2" s="104" t="n"/>
      <c r="C2" s="104" t="n"/>
      <c r="D2" s="104" t="n"/>
      <c r="E2" s="104" t="n"/>
      <c r="F2" s="104" t="n"/>
      <c r="G2" s="104" t="n"/>
      <c r="H2" s="104" t="n"/>
      <c r="I2" s="104" t="n"/>
      <c r="J2" s="37" t="inlineStr">
        <is>
          <t>not wrapped (+1)</t>
        </is>
      </c>
      <c r="K2" s="161" t="n"/>
      <c r="L2" s="184" t="inlineStr">
        <is>
          <t>wrapped (-1)</t>
        </is>
      </c>
      <c r="M2" s="161" t="n"/>
      <c r="N2" s="105" t="n"/>
    </row>
    <row r="3">
      <c r="A3" s="122" t="inlineStr">
        <is>
          <t>First day</t>
        </is>
      </c>
      <c r="B3" s="122" t="inlineStr">
        <is>
          <t>Last day</t>
        </is>
      </c>
      <c r="C3" s="119" t="inlineStr">
        <is>
          <t>flag =</t>
        </is>
      </c>
      <c r="D3" s="120">
        <f>IF(A4&gt;B4,-1,1)</f>
        <v/>
      </c>
      <c r="E3" s="109" t="inlineStr">
        <is>
          <t>DaysInMo</t>
        </is>
      </c>
      <c r="F3" s="121" t="inlineStr">
        <is>
          <t>MoEndJD</t>
        </is>
      </c>
      <c r="G3" s="121" t="inlineStr">
        <is>
          <t>include</t>
        </is>
      </c>
      <c r="H3" s="121" t="inlineStr">
        <is>
          <t>start-D</t>
        </is>
      </c>
      <c r="I3" s="110" t="inlineStr">
        <is>
          <t>end-D</t>
        </is>
      </c>
      <c r="J3" s="129" t="inlineStr">
        <is>
          <t>start</t>
        </is>
      </c>
      <c r="K3" s="130" t="inlineStr">
        <is>
          <t>end</t>
        </is>
      </c>
      <c r="L3" s="131" t="inlineStr">
        <is>
          <t>start</t>
        </is>
      </c>
      <c r="M3" s="132" t="inlineStr">
        <is>
          <t>end</t>
        </is>
      </c>
      <c r="N3" s="68" t="inlineStr">
        <is>
          <t>Heating_coeff</t>
        </is>
      </c>
    </row>
    <row r="4">
      <c r="A4" s="37">
        <f>'Sec7-2out'!C33</f>
        <v/>
      </c>
      <c r="B4" s="175">
        <f>'Sec7-2out'!D33</f>
        <v/>
      </c>
      <c r="C4" s="124" t="inlineStr">
        <is>
          <t>January</t>
        </is>
      </c>
      <c r="D4" s="125" t="n">
        <v>1</v>
      </c>
      <c r="E4" s="111" t="n">
        <v>31</v>
      </c>
      <c r="F4" s="112">
        <f>E4</f>
        <v/>
      </c>
      <c r="G4" s="112">
        <f>IF($D$3&gt;0,IF($A$4&lt;=F4,IF(F4-E4&lt;=$B$4,1,0),0),IF($B$4&gt;=F4-E4,1,IF(F4&gt;=$A$4,1,0)))</f>
        <v/>
      </c>
      <c r="H4" s="113">
        <f>F4-$A$4+1</f>
        <v/>
      </c>
      <c r="I4" s="114">
        <f>(F4-$B$4)</f>
        <v/>
      </c>
      <c r="J4" s="133">
        <f>IF($D$3&gt;0,IF(G4&gt;0,IF(H4&gt;0,IF(H4&lt;E4,(H4)/E4,IF(I4&lt;0,1,0)),0),0),0)</f>
        <v/>
      </c>
      <c r="K4" s="134">
        <f>IF($D$3&gt;0,IF(G4&gt;0,IF(I4&gt;=0,IF(I4&gt;E4,1,(E4-I4)/E4),0),0),0)</f>
        <v/>
      </c>
      <c r="L4" s="135">
        <f>IF($D$3&lt;0,IF(G4&gt;0,IF(H4&gt;0,IF(H4&lt;E4,H4/E4,1),0),0),0)</f>
        <v/>
      </c>
      <c r="M4" s="136">
        <f>IF($D$3&lt;0,IF(G4&gt;0,IF(I4&lt;0,1,IF(I4&lt;E4,(E4-I4)/E4,0)),0),0)</f>
        <v/>
      </c>
      <c r="N4" s="127">
        <f>SUM(J4:M4)</f>
        <v/>
      </c>
    </row>
    <row r="5">
      <c r="A5" s="101" t="n"/>
      <c r="C5" s="111" t="inlineStr">
        <is>
          <t>February</t>
        </is>
      </c>
      <c r="D5" s="126" t="n">
        <v>2</v>
      </c>
      <c r="E5" s="111" t="n">
        <v>28</v>
      </c>
      <c r="F5" s="112">
        <f>F4+E5</f>
        <v/>
      </c>
      <c r="G5" s="112">
        <f>IF($D$3&gt;0,IF($A$4&lt;=F5,IF(F5-E5&lt;=$B$4,1,0),0),IF($B$4&gt;=F5-E5,1,IF(F5&gt;=$A$4,1,0)))</f>
        <v/>
      </c>
      <c r="H5" s="113">
        <f>F5-$A$4+1</f>
        <v/>
      </c>
      <c r="I5" s="114">
        <f>(F5-$B$4)</f>
        <v/>
      </c>
      <c r="J5" s="133">
        <f>IF($D$3&gt;0,IF(G5&gt;0,IF(H5&gt;0,IF(H5&lt;E5,(E5-H5)/E5,IF(I5&lt;0,1,0)),0),0),0)</f>
        <v/>
      </c>
      <c r="K5" s="134">
        <f>IF($D$3&gt;0,IF(G5&gt;0,IF(I5&gt;=0,IF(I5&gt;E5,1,(E5-I5)/E5),0),0),0)</f>
        <v/>
      </c>
      <c r="L5" s="135">
        <f>IF($D$3&lt;0,IF(G5&gt;0,IF(H5&gt;0,IF(H5&lt;E5,H5/E5,1),0),0),0)</f>
        <v/>
      </c>
      <c r="M5" s="136">
        <f>IF($D$3&lt;0,IF(G5&gt;0,IF(I5&lt;0,1,IF(I5&lt;E5,(E5-I5)/E5,0)),0),0)</f>
        <v/>
      </c>
      <c r="N5" s="127">
        <f>SUM(J5:M5)</f>
        <v/>
      </c>
    </row>
    <row r="6">
      <c r="A6" s="106" t="n"/>
      <c r="B6" s="107" t="n"/>
      <c r="C6" s="111" t="inlineStr">
        <is>
          <t>March</t>
        </is>
      </c>
      <c r="D6" s="126" t="n">
        <v>3</v>
      </c>
      <c r="E6" s="111" t="n">
        <v>31</v>
      </c>
      <c r="F6" s="112">
        <f>F5+E6</f>
        <v/>
      </c>
      <c r="G6" s="112">
        <f>IF($D$3&gt;0,IF($A$4&lt;=F6,IF(F6-E6&lt;=$B$4,1,0),0),IF($B$4&gt;=F6-E6,1,IF(F6&gt;=$A$4,1,0)))</f>
        <v/>
      </c>
      <c r="H6" s="113">
        <f>F6-$A$4+1</f>
        <v/>
      </c>
      <c r="I6" s="114">
        <f>(F6-$B$4)</f>
        <v/>
      </c>
      <c r="J6" s="133">
        <f>IF($D$3&gt;0,IF(G6&gt;0,IF(H6&gt;0,IF(H6&lt;E6,(E6-H6)/E6,IF(I6&lt;0,1,0)),0),0),0)</f>
        <v/>
      </c>
      <c r="K6" s="134">
        <f>IF($D$3&gt;0,IF(G6&gt;0,IF(I6&gt;=0,IF(I6&gt;E6,1,(E6-I6)/E6),0),0),0)</f>
        <v/>
      </c>
      <c r="L6" s="135">
        <f>IF($D$3&lt;0,IF(G6&gt;0,IF(H6&gt;0,IF(H6&lt;E6,H6/E6,1),0),0),0)</f>
        <v/>
      </c>
      <c r="M6" s="136">
        <f>IF($D$3&lt;0,IF(G6&gt;0,IF(I6&lt;0,1,IF(I6&lt;E6,(E6-I6)/E6,0)),0),0)</f>
        <v/>
      </c>
      <c r="N6" s="127">
        <f>SUM(J6:M6)</f>
        <v/>
      </c>
    </row>
    <row r="7">
      <c r="A7" s="41" t="n"/>
      <c r="B7" s="165" t="n"/>
      <c r="C7" s="111" t="inlineStr">
        <is>
          <t>April</t>
        </is>
      </c>
      <c r="D7" s="126" t="n">
        <v>4</v>
      </c>
      <c r="E7" s="111" t="n">
        <v>30</v>
      </c>
      <c r="F7" s="112">
        <f>F6+E7</f>
        <v/>
      </c>
      <c r="G7" s="112">
        <f>IF($D$3&gt;0,IF($A$4&lt;=F7,IF(F7-E7&lt;=$B$4,1,0),0),IF($B$4&gt;=F7-E7,1,IF(F7&gt;=$A$4,1,0)))</f>
        <v/>
      </c>
      <c r="H7" s="113">
        <f>F7-$A$4+1</f>
        <v/>
      </c>
      <c r="I7" s="114">
        <f>(F7-$B$4)</f>
        <v/>
      </c>
      <c r="J7" s="133">
        <f>IF($D$3&gt;0,IF(G7&gt;0,IF(H7&gt;0,IF(H7&lt;E7,(E7-H7)/E7,IF(I7&lt;0,1,0)),0),0),0)</f>
        <v/>
      </c>
      <c r="K7" s="134">
        <f>IF($D$3&gt;0,IF(G7&gt;0,IF(I7&gt;=0,IF(I7&gt;E7,1,(E7-I7)/E7),0),0),0)</f>
        <v/>
      </c>
      <c r="L7" s="135">
        <f>IF($D$3&lt;0,IF(G7&gt;0,IF(H7&gt;0,IF(H7&lt;E7,H7/E7,1),0),0),0)</f>
        <v/>
      </c>
      <c r="M7" s="136">
        <f>IF($D$3&lt;0,IF(G7&gt;0,IF(I7&lt;0,1,IF(I7&lt;E7,(E7-I7)/E7,0)),0),0)</f>
        <v/>
      </c>
      <c r="N7" s="127">
        <f>SUM(J7:M7)</f>
        <v/>
      </c>
    </row>
    <row r="8">
      <c r="A8" s="41" t="n"/>
      <c r="B8" s="165" t="n"/>
      <c r="C8" s="111" t="inlineStr">
        <is>
          <t>May</t>
        </is>
      </c>
      <c r="D8" s="126" t="n">
        <v>5</v>
      </c>
      <c r="E8" s="111" t="n">
        <v>31</v>
      </c>
      <c r="F8" s="112">
        <f>F7+E8</f>
        <v/>
      </c>
      <c r="G8" s="112">
        <f>IF($D$3&gt;0,IF($A$4&lt;=F8,IF(F8-E8&lt;=$B$4,1,0),0),IF($B$4&gt;=F8-E8,1,IF(F8&gt;=$A$4,1,0)))</f>
        <v/>
      </c>
      <c r="H8" s="113">
        <f>F8-$A$4+1</f>
        <v/>
      </c>
      <c r="I8" s="114">
        <f>(F8-$B$4)</f>
        <v/>
      </c>
      <c r="J8" s="133">
        <f>IF($D$3&gt;0,IF(G8&gt;0,IF(H8&gt;0,IF(H8&lt;E8,(E8-H8)/E8,IF(I8&lt;0,1,0)),0),0),0)</f>
        <v/>
      </c>
      <c r="K8" s="134">
        <f>IF($D$3&gt;0,IF(G8&gt;0,IF(I8&gt;=0,IF(I8&gt;E8,1,(E8-I8)/E8),0),0),0)</f>
        <v/>
      </c>
      <c r="L8" s="135">
        <f>IF($D$3&lt;0,IF(G8&gt;0,IF(H8&gt;0,IF(H8&lt;E8,H8/E8,1),0),0),0)</f>
        <v/>
      </c>
      <c r="M8" s="136">
        <f>IF($D$3&lt;0,IF(G8&gt;0,IF(I8&lt;0,1,IF(I8&lt;E8,(E8-I8)/E8,0)),0),0)</f>
        <v/>
      </c>
      <c r="N8" s="127">
        <f>SUM(J8:M8)</f>
        <v/>
      </c>
    </row>
    <row r="9">
      <c r="A9" s="41" t="n"/>
      <c r="B9" s="165" t="n"/>
      <c r="C9" s="111" t="inlineStr">
        <is>
          <t>June</t>
        </is>
      </c>
      <c r="D9" s="126" t="n">
        <v>6</v>
      </c>
      <c r="E9" s="111" t="n">
        <v>30</v>
      </c>
      <c r="F9" s="112">
        <f>F8+E9</f>
        <v/>
      </c>
      <c r="G9" s="112">
        <f>IF($D$3&gt;0,IF($A$4&lt;=F9,IF(F9-E9&lt;=$B$4,1,0),0),IF($B$4&gt;=F9-E9,1,IF(F9&gt;=$A$4,1,0)))</f>
        <v/>
      </c>
      <c r="H9" s="113">
        <f>F9-$A$4+1</f>
        <v/>
      </c>
      <c r="I9" s="114">
        <f>(F9-$B$4)</f>
        <v/>
      </c>
      <c r="J9" s="133">
        <f>IF($D$3&gt;0,IF(G9&gt;0,IF(H9&gt;0,IF(H9&lt;E9,(E9-H9)/E9,IF(I9&lt;0,1,0)),0),0),0)</f>
        <v/>
      </c>
      <c r="K9" s="134">
        <f>IF($D$3&gt;0,IF(G9&gt;0,IF(I9&gt;=0,IF(I9&gt;E9,1,(E9-I9)/E9),0),0),0)</f>
        <v/>
      </c>
      <c r="L9" s="135">
        <f>IF($D$3&lt;0,IF(G9&gt;0,IF(H9&gt;0,IF(H9&lt;E9,H9/E9,1),0),0),0)</f>
        <v/>
      </c>
      <c r="M9" s="136">
        <f>IF($D$3&lt;0,IF(G9&gt;0,IF(I9&lt;0,1,IF(I9&lt;E9,(E9-I9)/E9,0)),0),0)</f>
        <v/>
      </c>
      <c r="N9" s="127">
        <f>SUM(J9:M9)</f>
        <v/>
      </c>
    </row>
    <row r="10">
      <c r="A10" s="41" t="n"/>
      <c r="B10" s="165" t="n"/>
      <c r="C10" s="111" t="inlineStr">
        <is>
          <t>July</t>
        </is>
      </c>
      <c r="D10" s="126" t="n">
        <v>7</v>
      </c>
      <c r="E10" s="111" t="n">
        <v>31</v>
      </c>
      <c r="F10" s="112">
        <f>F9+E10</f>
        <v/>
      </c>
      <c r="G10" s="112">
        <f>IF($D$3&gt;0,IF($A$4&lt;=F10,IF(F10-E10&lt;=$B$4,1,0),0),IF($B$4&gt;=F10-E10,1,IF(F10&gt;=$A$4,1,0)))</f>
        <v/>
      </c>
      <c r="H10" s="113">
        <f>F10-$A$4+1</f>
        <v/>
      </c>
      <c r="I10" s="114">
        <f>(F10-$B$4)</f>
        <v/>
      </c>
      <c r="J10" s="133">
        <f>IF($D$3&gt;0,IF(G10&gt;0,IF(H10&gt;0,IF(H10&lt;E10,(E10-H10)/E10,IF(I10&lt;0,1,0)),0),0),0)</f>
        <v/>
      </c>
      <c r="K10" s="134">
        <f>IF($D$3&gt;0,IF(G10&gt;0,IF(I10&gt;=0,IF(I10&gt;E10,1,(E10-I10)/E10),0),0),0)</f>
        <v/>
      </c>
      <c r="L10" s="135">
        <f>IF($D$3&lt;0,IF(G10&gt;0,IF(H10&gt;0,IF(H10&lt;E10,H10/E10,1),0),0),0)</f>
        <v/>
      </c>
      <c r="M10" s="136">
        <f>IF($D$3&lt;0,IF(G10&gt;0,IF(I10&lt;0,1,IF(I10&lt;E10,(E10-I10)/E10,0)),0),0)</f>
        <v/>
      </c>
      <c r="N10" s="127">
        <f>SUM(J10:M10)</f>
        <v/>
      </c>
    </row>
    <row r="11">
      <c r="A11" s="41" t="n"/>
      <c r="B11" s="165" t="n"/>
      <c r="C11" s="111" t="inlineStr">
        <is>
          <t>August</t>
        </is>
      </c>
      <c r="D11" s="126" t="n">
        <v>8</v>
      </c>
      <c r="E11" s="111" t="n">
        <v>31</v>
      </c>
      <c r="F11" s="112">
        <f>F10+E11</f>
        <v/>
      </c>
      <c r="G11" s="112">
        <f>IF($D$3&gt;0,IF($A$4&lt;=F11,IF(F11-E11&lt;=$B$4,1,0),0),IF($B$4&gt;=F11-E11,1,IF(F11&gt;=$A$4,1,0)))</f>
        <v/>
      </c>
      <c r="H11" s="113">
        <f>F11-$A$4+1</f>
        <v/>
      </c>
      <c r="I11" s="114">
        <f>(F11-$B$4)</f>
        <v/>
      </c>
      <c r="J11" s="133">
        <f>IF($D$3&gt;0,IF(G11&gt;0,IF(H11&gt;0,IF(H11&lt;E11,(E11-H11)/E11,IF(I11&lt;0,1,0)),0),0),0)</f>
        <v/>
      </c>
      <c r="K11" s="134">
        <f>IF($D$3&gt;0,IF(G11&gt;0,IF(I11&gt;=0,IF(I11&gt;E11,1,(E11-I11)/E11),0),0),0)</f>
        <v/>
      </c>
      <c r="L11" s="135">
        <f>IF($D$3&lt;0,IF(G11&gt;0,IF(H11&gt;0,IF(H11&lt;E11,H11/E11,1),0),0),0)</f>
        <v/>
      </c>
      <c r="M11" s="136">
        <f>IF($D$3&lt;0,IF(G11&gt;0,IF(I11&lt;0,1,IF(I11&lt;E11,(E11-I11)/E11,0)),0),0)</f>
        <v/>
      </c>
      <c r="N11" s="127">
        <f>SUM(J11:M11)</f>
        <v/>
      </c>
    </row>
    <row r="12">
      <c r="A12" s="41" t="n"/>
      <c r="B12" s="165" t="n"/>
      <c r="C12" s="111" t="inlineStr">
        <is>
          <t>September</t>
        </is>
      </c>
      <c r="D12" s="126" t="n">
        <v>9</v>
      </c>
      <c r="E12" s="111" t="n">
        <v>30</v>
      </c>
      <c r="F12" s="112">
        <f>F11+E12</f>
        <v/>
      </c>
      <c r="G12" s="112">
        <f>IF($D$3&gt;0,IF($A$4&lt;=F12,IF(F12-E12&lt;=$B$4,1,0),0),IF($B$4&gt;=F12-E12,1,IF(F12&gt;=$A$4,1,0)))</f>
        <v/>
      </c>
      <c r="H12" s="113">
        <f>F12-$A$4+1</f>
        <v/>
      </c>
      <c r="I12" s="114">
        <f>(F12-$B$4)</f>
        <v/>
      </c>
      <c r="J12" s="133">
        <f>IF($D$3&gt;0,IF(G12&gt;0,IF(H12&gt;0,IF(H12&lt;E12,(E12-H12)/E12,IF(I12&lt;0,1,0)),0),0),0)</f>
        <v/>
      </c>
      <c r="K12" s="134">
        <f>IF($D$3&gt;0,IF(G12&gt;0,IF(I12&gt;=0,IF(I12&gt;E12,1,(E12-I12)/E12),0),0),0)</f>
        <v/>
      </c>
      <c r="L12" s="135">
        <f>IF($D$3&lt;0,IF(G12&gt;0,IF(H12&gt;0,IF(H12&lt;E12,H12/E12,1),0),0),0)</f>
        <v/>
      </c>
      <c r="M12" s="136">
        <f>IF($D$3&lt;0,IF(G12&gt;0,IF(I12&lt;0,1,IF(I12&lt;E12,(E12-I12)/E12,0)),0),0)</f>
        <v/>
      </c>
      <c r="N12" s="127">
        <f>SUM(J12:M12)</f>
        <v/>
      </c>
    </row>
    <row r="13">
      <c r="A13" s="41" t="n"/>
      <c r="B13" s="165" t="n"/>
      <c r="C13" s="111" t="inlineStr">
        <is>
          <t>October</t>
        </is>
      </c>
      <c r="D13" s="126" t="n">
        <v>10</v>
      </c>
      <c r="E13" s="111" t="n">
        <v>31</v>
      </c>
      <c r="F13" s="112">
        <f>F12+E13</f>
        <v/>
      </c>
      <c r="G13" s="112">
        <f>IF($D$3&gt;0,IF($A$4&lt;=F13,IF(F13-E13&lt;=$B$4,1,0),0),IF($B$4&gt;=F13-E13,1,IF(F13&gt;=$A$4,1,0)))</f>
        <v/>
      </c>
      <c r="H13" s="113">
        <f>F13-$A$4+1</f>
        <v/>
      </c>
      <c r="I13" s="114">
        <f>(F13-$B$4)</f>
        <v/>
      </c>
      <c r="J13" s="133">
        <f>IF($D$3&gt;0,IF(G13&gt;0,IF(H13&gt;0,IF(H13&lt;E13,(E13-H13)/E13,IF(I13&lt;0,1,0)),0),0),0)</f>
        <v/>
      </c>
      <c r="K13" s="134">
        <f>IF($D$3&gt;0,IF(G13&gt;0,IF(I13&gt;=0,IF(I13&gt;E13,1,(E13-I13)/E13),0),0),0)</f>
        <v/>
      </c>
      <c r="L13" s="135">
        <f>IF($D$3&lt;0,IF(G13&gt;0,IF(H13&gt;0,IF(H13&lt;E13,H13/E13,1),0),0),0)</f>
        <v/>
      </c>
      <c r="M13" s="136">
        <f>IF($D$3&lt;0,IF(G13&gt;0,IF(I13&lt;0,1,IF(I13&lt;E13,(E13-I13)/E13,0)),0),0)</f>
        <v/>
      </c>
      <c r="N13" s="127">
        <f>SUM(J13:M13)</f>
        <v/>
      </c>
    </row>
    <row r="14">
      <c r="A14" s="41" t="n"/>
      <c r="B14" s="165" t="n"/>
      <c r="C14" s="111" t="inlineStr">
        <is>
          <t>November</t>
        </is>
      </c>
      <c r="D14" s="126" t="n">
        <v>11</v>
      </c>
      <c r="E14" s="111" t="n">
        <v>30</v>
      </c>
      <c r="F14" s="112">
        <f>F13+E14</f>
        <v/>
      </c>
      <c r="G14" s="112">
        <f>IF($D$3&gt;0,IF($A$4&lt;=F14,IF(F14-E14&lt;=$B$4,1,0),0),IF($B$4&gt;=F14-E14,1,IF(F14&gt;=$A$4,1,0)))</f>
        <v/>
      </c>
      <c r="H14" s="113">
        <f>F14-$A$4+1</f>
        <v/>
      </c>
      <c r="I14" s="114">
        <f>(F14-$B$4)</f>
        <v/>
      </c>
      <c r="J14" s="133">
        <f>IF($D$3&gt;0,IF(G14&gt;0,IF(H14&gt;0,IF(H14&lt;E14,(E14-H14)/E14,IF(I14&lt;0,1,0)),0),0),0)</f>
        <v/>
      </c>
      <c r="K14" s="134">
        <f>IF($D$3&gt;0,IF(G14&gt;0,IF(I14&gt;=0,IF(I14&gt;E14,1,(E14-I14)/E14),0),0),0)</f>
        <v/>
      </c>
      <c r="L14" s="135">
        <f>IF($D$3&lt;0,IF(G14&gt;0,IF(H14&gt;0,IF(H14&lt;E14,H14/E14,1),0),0),0)</f>
        <v/>
      </c>
      <c r="M14" s="136">
        <f>IF($D$3&lt;0,IF(G14&gt;0,IF(I14&lt;0,1,IF(I14&lt;E14,(E14-I14)/E14,0)),0),0)</f>
        <v/>
      </c>
      <c r="N14" s="127">
        <f>SUM(J14:M14)</f>
        <v/>
      </c>
    </row>
    <row r="15">
      <c r="A15" s="59" t="n"/>
      <c r="B15" s="143" t="n"/>
      <c r="C15" s="115" t="inlineStr">
        <is>
          <t>December</t>
        </is>
      </c>
      <c r="D15" s="118" t="n">
        <v>12</v>
      </c>
      <c r="E15" s="115" t="n">
        <v>31</v>
      </c>
      <c r="F15" s="116">
        <f>F14+E15</f>
        <v/>
      </c>
      <c r="G15" s="116">
        <f>IF($D$3&gt;0,IF($A$4&lt;=F15,IF(F15-E15&lt;=$B$4,1,0),0),IF($B$4&gt;=F15-E15,1,IF(F15&gt;=$A$4,1,0)))</f>
        <v/>
      </c>
      <c r="H15" s="117">
        <f>F15-$A$4+1</f>
        <v/>
      </c>
      <c r="I15" s="118">
        <f>(F15-$B$4)</f>
        <v/>
      </c>
      <c r="J15" s="137">
        <f>IF($D$3&gt;0,IF(G15&gt;0,IF(H15&gt;0,IF(H15&lt;E15,(E15-H15)/E15,IF(I15&lt;0,1,0)),0),0),0)</f>
        <v/>
      </c>
      <c r="K15" s="138">
        <f>IF($D$3&gt;0,IF(G15&gt;0,IF(I15&gt;=0,IF(I15&gt;E15,1,(E15-I15)/E15),0),0),0)</f>
        <v/>
      </c>
      <c r="L15" s="139">
        <f>IF($D$3&lt;0,IF(G15&gt;0,IF(H15&gt;0,IF(H15&lt;E15,H15/E15,1),0),0),0)</f>
        <v/>
      </c>
      <c r="M15" s="140">
        <f>IF($D$3&lt;0,IF(G15&gt;0,IF(I15&lt;0,1,IF(I15&lt;E15,(E15-I15)/E15,0)),0),0)</f>
        <v/>
      </c>
      <c r="N15" s="128">
        <f>SUM(J15:M15)</f>
        <v/>
      </c>
    </row>
    <row r="16">
      <c r="A16" s="165" t="n"/>
      <c r="B16" s="165" t="n"/>
      <c r="H16" s="28" t="n"/>
      <c r="N16" s="165" t="n"/>
    </row>
    <row r="17">
      <c r="A17" s="103" t="inlineStr">
        <is>
          <t>Cooling Season Coefficients (based on Julian date)</t>
        </is>
      </c>
      <c r="B17" s="104" t="n"/>
      <c r="C17" s="104" t="n"/>
      <c r="D17" s="104" t="n"/>
      <c r="E17" s="104" t="n"/>
      <c r="F17" s="104" t="n"/>
      <c r="G17" s="104" t="n"/>
      <c r="H17" s="108" t="n"/>
      <c r="I17" s="104" t="n"/>
      <c r="J17" s="37" t="inlineStr">
        <is>
          <t>not wrapped (+1)</t>
        </is>
      </c>
      <c r="K17" s="161" t="n"/>
      <c r="L17" s="184" t="inlineStr">
        <is>
          <t>wrapped (-1)</t>
        </is>
      </c>
      <c r="M17" s="161" t="n"/>
      <c r="N17" s="83" t="n"/>
    </row>
    <row r="18">
      <c r="A18" s="122" t="inlineStr">
        <is>
          <t>First day</t>
        </is>
      </c>
      <c r="B18" s="122" t="inlineStr">
        <is>
          <t>Last day</t>
        </is>
      </c>
      <c r="C18" s="119" t="inlineStr">
        <is>
          <t>flag =</t>
        </is>
      </c>
      <c r="D18" s="120">
        <f>IF(A19&gt;B19,-1,1)</f>
        <v/>
      </c>
      <c r="E18" s="109" t="inlineStr">
        <is>
          <t>DaysInMo</t>
        </is>
      </c>
      <c r="F18" s="121" t="inlineStr">
        <is>
          <t>MoEndJD</t>
        </is>
      </c>
      <c r="G18" s="121" t="inlineStr">
        <is>
          <t>include</t>
        </is>
      </c>
      <c r="H18" s="121" t="inlineStr">
        <is>
          <t>start-D</t>
        </is>
      </c>
      <c r="I18" s="110" t="inlineStr">
        <is>
          <t>end-D</t>
        </is>
      </c>
      <c r="J18" s="129" t="inlineStr">
        <is>
          <t>start</t>
        </is>
      </c>
      <c r="K18" s="130" t="inlineStr">
        <is>
          <t>end</t>
        </is>
      </c>
      <c r="L18" s="131" t="inlineStr">
        <is>
          <t>start</t>
        </is>
      </c>
      <c r="M18" s="132" t="inlineStr">
        <is>
          <t>end</t>
        </is>
      </c>
      <c r="N18" s="68" t="inlineStr">
        <is>
          <t>Cooling_coeff</t>
        </is>
      </c>
    </row>
    <row r="19">
      <c r="A19" s="37">
        <f>'Sec7-2out'!C35</f>
        <v/>
      </c>
      <c r="B19" s="175">
        <f>'Sec7-2out'!D35</f>
        <v/>
      </c>
      <c r="C19" s="124" t="inlineStr">
        <is>
          <t>January</t>
        </is>
      </c>
      <c r="D19" s="125" t="n">
        <v>1</v>
      </c>
      <c r="E19" s="111" t="n">
        <v>31</v>
      </c>
      <c r="F19" s="112">
        <f>E19</f>
        <v/>
      </c>
      <c r="G19" s="112">
        <f>IF($D$18&gt;0,IF($A$19&lt;=F19,IF(F19-E19&lt;=$B$19,1,0),0),IF($B$19&gt;=F19-E19,1,IF(F19&gt;=$A$19,1,0)))</f>
        <v/>
      </c>
      <c r="H19" s="113">
        <f>F19-$A$19+1</f>
        <v/>
      </c>
      <c r="I19" s="114">
        <f>(F19-$B$19)</f>
        <v/>
      </c>
      <c r="J19" s="133">
        <f>IF($D$18&gt;0,IF(G19&gt;0,IF(H19&gt;0,IF(H19&lt;E19,(E19-H19)/E19,IF(I19&lt;0,1,0)),0),0),0)</f>
        <v/>
      </c>
      <c r="K19" s="134">
        <f>IF($D$18&gt;0,IF(G19&gt;0,IF(I19&gt;=0,IF(I19&gt;E19,1,(E19-I19)/E19),0),0),0)</f>
        <v/>
      </c>
      <c r="L19" s="135">
        <f>IF($D$18&lt;0,IF(G19&gt;0,IF(H19&gt;0,IF(H19&lt;E19,H19/E19,1),0),0),0)</f>
        <v/>
      </c>
      <c r="M19" s="136">
        <f>IF($D$18&lt;0,IF(G19&gt;0,IF(I19&lt;0,1,IF(I19&lt;E19,(E19-I19)/E19,0)),0),0)</f>
        <v/>
      </c>
      <c r="N19" s="127">
        <f>SUM(J19:M19)</f>
        <v/>
      </c>
    </row>
    <row r="20">
      <c r="A20" s="101" t="n"/>
      <c r="C20" s="111" t="inlineStr">
        <is>
          <t>February</t>
        </is>
      </c>
      <c r="D20" s="126" t="n">
        <v>2</v>
      </c>
      <c r="E20" s="111" t="n">
        <v>28</v>
      </c>
      <c r="F20" s="112">
        <f>F19+E20</f>
        <v/>
      </c>
      <c r="G20" s="112">
        <f>IF($D$18&gt;0,IF($A$19&lt;=F20,IF(F20-E20&lt;=$B$19,1,0),0),IF($B$19&gt;=F20-E20,1,IF(F20&gt;=$A$19,1,0)))</f>
        <v/>
      </c>
      <c r="H20" s="113">
        <f>F20-$A$19+1</f>
        <v/>
      </c>
      <c r="I20" s="114">
        <f>(F20-$B$19)</f>
        <v/>
      </c>
      <c r="J20" s="133">
        <f>IF($D$18&gt;0,IF(G20&gt;0,IF(H20&gt;0,IF(H20&lt;E20,(E20-H20)/E20,IF(I20&lt;0,1,0)),0),0),0)</f>
        <v/>
      </c>
      <c r="K20" s="134">
        <f>IF($D$18&gt;0,IF(G20&gt;0,IF(I20&gt;=0,IF(I20&gt;E20,1,(E20-I20)/E20),0),0),0)</f>
        <v/>
      </c>
      <c r="L20" s="135">
        <f>IF($D$18&lt;0,IF(G20&gt;0,IF(H20&gt;0,IF(H20&lt;E20,H20/E20,1),0),0),0)</f>
        <v/>
      </c>
      <c r="M20" s="136">
        <f>IF($D$18&lt;0,IF(G20&gt;0,IF(I20&lt;0,1,IF(I20&lt;E20,(E20-I20)/E20,0)),0),0)</f>
        <v/>
      </c>
      <c r="N20" s="127">
        <f>SUM(J20:M20)</f>
        <v/>
      </c>
    </row>
    <row r="21">
      <c r="A21" s="106" t="n"/>
      <c r="B21" s="107" t="n"/>
      <c r="C21" s="111" t="inlineStr">
        <is>
          <t>March</t>
        </is>
      </c>
      <c r="D21" s="126" t="n">
        <v>3</v>
      </c>
      <c r="E21" s="111" t="n">
        <v>31</v>
      </c>
      <c r="F21" s="112">
        <f>F20+E21</f>
        <v/>
      </c>
      <c r="G21" s="112">
        <f>IF($D$18&gt;0,IF($A$19&lt;=F21,IF(F21-E21&lt;=$B$19,1,0),0),IF($B$19&gt;=F21-E21,1,IF(F21&gt;=$A$19,1,0)))</f>
        <v/>
      </c>
      <c r="H21" s="113">
        <f>F21-$A$19+1</f>
        <v/>
      </c>
      <c r="I21" s="114">
        <f>(F21-$B$19)</f>
        <v/>
      </c>
      <c r="J21" s="133">
        <f>IF($D$18&gt;0,IF(G21&gt;0,IF(H21&gt;0,IF(H21&lt;E21,(E21-H21)/E21,IF(I21&lt;0,1,0)),0),0),0)</f>
        <v/>
      </c>
      <c r="K21" s="134">
        <f>IF($D$18&gt;0,IF(G21&gt;0,IF(I21&gt;=0,IF(I21&gt;E21,1,(E21-I21)/E21),0),0),0)</f>
        <v/>
      </c>
      <c r="L21" s="135">
        <f>IF($D$18&lt;0,IF(G21&gt;0,IF(H21&gt;0,IF(H21&lt;E21,H21/E21,1),0),0),0)</f>
        <v/>
      </c>
      <c r="M21" s="136">
        <f>IF($D$18&lt;0,IF(G21&gt;0,IF(I21&lt;0,1,IF(I21&lt;E21,(E21-I21)/E21,0)),0),0)</f>
        <v/>
      </c>
      <c r="N21" s="127">
        <f>SUM(J21:M21)</f>
        <v/>
      </c>
    </row>
    <row r="22">
      <c r="A22" s="41" t="n"/>
      <c r="B22" s="165" t="n"/>
      <c r="C22" s="111" t="inlineStr">
        <is>
          <t>April</t>
        </is>
      </c>
      <c r="D22" s="126" t="n">
        <v>4</v>
      </c>
      <c r="E22" s="111" t="n">
        <v>30</v>
      </c>
      <c r="F22" s="112">
        <f>F21+E22</f>
        <v/>
      </c>
      <c r="G22" s="112">
        <f>IF($D$18&gt;0,IF($A$19&lt;=F22,IF(F22-E22&lt;=$B$19,1,0),0),IF($B$19&gt;=F22-E22,1,IF(F22&gt;=$A$19,1,0)))</f>
        <v/>
      </c>
      <c r="H22" s="113">
        <f>F22-$A$19+1</f>
        <v/>
      </c>
      <c r="I22" s="114">
        <f>(F22-$B$19)</f>
        <v/>
      </c>
      <c r="J22" s="133">
        <f>IF($D$18&gt;0,IF(G22&gt;0,IF(H22&gt;0,IF(H22&lt;E22,(E22-H22)/E22,IF(I22&lt;0,1,0)),0),0),0)</f>
        <v/>
      </c>
      <c r="K22" s="134">
        <f>IF($D$18&gt;0,IF(G22&gt;0,IF(I22&gt;=0,IF(I22&gt;E22,1,(E22-I22)/E22),0),0),0)</f>
        <v/>
      </c>
      <c r="L22" s="135">
        <f>IF($D$18&lt;0,IF(G22&gt;0,IF(H22&gt;0,IF(H22&lt;E22,H22/E22,1),0),0),0)</f>
        <v/>
      </c>
      <c r="M22" s="136">
        <f>IF($D$18&lt;0,IF(G22&gt;0,IF(I22&lt;0,1,IF(I22&lt;E22,(E22-I22)/E22,0)),0),0)</f>
        <v/>
      </c>
      <c r="N22" s="127">
        <f>SUM(J22:M22)</f>
        <v/>
      </c>
    </row>
    <row r="23">
      <c r="A23" s="41" t="n"/>
      <c r="B23" s="165" t="n"/>
      <c r="C23" s="111" t="inlineStr">
        <is>
          <t>May</t>
        </is>
      </c>
      <c r="D23" s="126" t="n">
        <v>5</v>
      </c>
      <c r="E23" s="111" t="n">
        <v>31</v>
      </c>
      <c r="F23" s="112">
        <f>F22+E23</f>
        <v/>
      </c>
      <c r="G23" s="112">
        <f>IF($D$18&gt;0,IF($A$19&lt;=F23,IF(F23-E23&lt;=$B$19,1,0),0),IF($B$19&gt;=F23-E23,1,IF(F23&gt;=$A$19,1,0)))</f>
        <v/>
      </c>
      <c r="H23" s="113">
        <f>F23-$A$19+1</f>
        <v/>
      </c>
      <c r="I23" s="114">
        <f>(F23-$B$19)</f>
        <v/>
      </c>
      <c r="J23" s="133">
        <f>IF($D$18&gt;0,IF(G23&gt;0,IF(H23&gt;0,IF(H23&lt;E23,(E23-H23)/E23,IF(I23&lt;0,1,0)),0),0),0)</f>
        <v/>
      </c>
      <c r="K23" s="134">
        <f>IF($D$18&gt;0,IF(G23&gt;0,IF(I23&gt;=0,IF(I23&gt;E23,1,(E23-I23)/E23),0),0),0)</f>
        <v/>
      </c>
      <c r="L23" s="135">
        <f>IF($D$18&lt;0,IF(G23&gt;0,IF(H23&gt;0,IF(H23&lt;E23,H23/E23,1),0),0),0)</f>
        <v/>
      </c>
      <c r="M23" s="136">
        <f>IF($D$18&lt;0,IF(G23&gt;0,IF(I23&lt;0,1,IF(I23&lt;E23,(E23-I23)/E23,0)),0),0)</f>
        <v/>
      </c>
      <c r="N23" s="127">
        <f>SUM(J23:M23)</f>
        <v/>
      </c>
    </row>
    <row r="24">
      <c r="A24" s="41" t="n"/>
      <c r="B24" s="165" t="n"/>
      <c r="C24" s="111" t="inlineStr">
        <is>
          <t>June</t>
        </is>
      </c>
      <c r="D24" s="126" t="n">
        <v>6</v>
      </c>
      <c r="E24" s="111" t="n">
        <v>30</v>
      </c>
      <c r="F24" s="112">
        <f>F23+E24</f>
        <v/>
      </c>
      <c r="G24" s="112">
        <f>IF($D$18&gt;0,IF($A$19&lt;=F24,IF(F24-E24&lt;=$B$19,1,0),0),IF($B$19&gt;=F24-E24,1,IF(F24&gt;=$A$19,1,0)))</f>
        <v/>
      </c>
      <c r="H24" s="113">
        <f>F24-$A$19+1</f>
        <v/>
      </c>
      <c r="I24" s="114">
        <f>(F24-$B$19)</f>
        <v/>
      </c>
      <c r="J24" s="133">
        <f>IF($D$18&gt;0,IF(G24&gt;0,IF(H24&gt;0,IF(H24&lt;E24,(E24-H24)/E24,IF(I24&lt;0,1,0)),0),0),0)</f>
        <v/>
      </c>
      <c r="K24" s="134">
        <f>IF($D$18&gt;0,IF(G24&gt;0,IF(I24&gt;=0,IF(I24&gt;E24,1,(E24-I24)/E24),0),0),0)</f>
        <v/>
      </c>
      <c r="L24" s="135">
        <f>IF($D$18&lt;0,IF(G24&gt;0,IF(H24&gt;0,IF(H24&lt;E24,H24/E24,1),0),0),0)</f>
        <v/>
      </c>
      <c r="M24" s="136">
        <f>IF($D$18&lt;0,IF(G24&gt;0,IF(I24&lt;0,1,IF(I24&lt;E24,(E24-I24)/E24,0)),0),0)</f>
        <v/>
      </c>
      <c r="N24" s="127">
        <f>SUM(J24:M24)</f>
        <v/>
      </c>
    </row>
    <row r="25">
      <c r="A25" s="41" t="n"/>
      <c r="B25" s="165" t="n"/>
      <c r="C25" s="111" t="inlineStr">
        <is>
          <t>July</t>
        </is>
      </c>
      <c r="D25" s="126" t="n">
        <v>7</v>
      </c>
      <c r="E25" s="111" t="n">
        <v>31</v>
      </c>
      <c r="F25" s="112">
        <f>F24+E25</f>
        <v/>
      </c>
      <c r="G25" s="112">
        <f>IF($D$18&gt;0,IF($A$19&lt;=F25,IF(F25-E25&lt;=$B$19,1,0),0),IF($B$19&gt;=F25-E25,1,IF(F25&gt;=$A$19,1,0)))</f>
        <v/>
      </c>
      <c r="H25" s="113">
        <f>F25-$A$19+1</f>
        <v/>
      </c>
      <c r="I25" s="114">
        <f>(F25-$B$19)</f>
        <v/>
      </c>
      <c r="J25" s="133">
        <f>IF($D$18&gt;0,IF(G25&gt;0,IF(H25&gt;0,IF(H25&lt;E25,(E25-H25)/E25,IF(I25&lt;0,1,0)),0),0),0)</f>
        <v/>
      </c>
      <c r="K25" s="134">
        <f>IF($D$18&gt;0,IF(G25&gt;0,IF(I25&gt;=0,IF(I25&gt;E25,1,(E25-I25)/E25),0),0),0)</f>
        <v/>
      </c>
      <c r="L25" s="135">
        <f>IF($D$18&lt;0,IF(G25&gt;0,IF(H25&gt;0,IF(H25&lt;E25,H25/E25,1),0),0),0)</f>
        <v/>
      </c>
      <c r="M25" s="136">
        <f>IF($D$18&lt;0,IF(G25&gt;0,IF(I25&lt;0,1,IF(I25&lt;E25,(E25-I25)/E25,0)),0),0)</f>
        <v/>
      </c>
      <c r="N25" s="127">
        <f>SUM(J25:M25)</f>
        <v/>
      </c>
    </row>
    <row r="26">
      <c r="A26" s="41" t="n"/>
      <c r="B26" s="165" t="n"/>
      <c r="C26" s="111" t="inlineStr">
        <is>
          <t>August</t>
        </is>
      </c>
      <c r="D26" s="126" t="n">
        <v>8</v>
      </c>
      <c r="E26" s="111" t="n">
        <v>31</v>
      </c>
      <c r="F26" s="112">
        <f>F25+E26</f>
        <v/>
      </c>
      <c r="G26" s="112">
        <f>IF($D$18&gt;0,IF($A$19&lt;=F26,IF(F26-E26&lt;=$B$19,1,0),0),IF($B$19&gt;=F26-E26,1,IF(F26&gt;=$A$19,1,0)))</f>
        <v/>
      </c>
      <c r="H26" s="113">
        <f>F26-$A$19+1</f>
        <v/>
      </c>
      <c r="I26" s="114">
        <f>(F26-$B$19)</f>
        <v/>
      </c>
      <c r="J26" s="133">
        <f>IF($D$18&gt;0,IF(G26&gt;0,IF(H26&gt;0,IF(H26&lt;E26,(E26-H26)/E26,IF(I26&lt;0,1,0)),0),0),0)</f>
        <v/>
      </c>
      <c r="K26" s="134">
        <f>IF($D$18&gt;0,IF(G26&gt;0,IF(I26&gt;=0,IF(I26&gt;E26,1,(E26-I26)/E26),0),0),0)</f>
        <v/>
      </c>
      <c r="L26" s="135">
        <f>IF($D$18&lt;0,IF(G26&gt;0,IF(H26&gt;0,IF(H26&lt;E26,H26/E26,1),0),0),0)</f>
        <v/>
      </c>
      <c r="M26" s="136">
        <f>IF($D$18&lt;0,IF(G26&gt;0,IF(I26&lt;0,1,IF(I26&lt;E26,(E26-I26)/E26,0)),0),0)</f>
        <v/>
      </c>
      <c r="N26" s="127">
        <f>SUM(J26:M26)</f>
        <v/>
      </c>
    </row>
    <row r="27">
      <c r="A27" s="41" t="n"/>
      <c r="B27" s="165" t="n"/>
      <c r="C27" s="111" t="inlineStr">
        <is>
          <t>September</t>
        </is>
      </c>
      <c r="D27" s="126" t="n">
        <v>9</v>
      </c>
      <c r="E27" s="111" t="n">
        <v>30</v>
      </c>
      <c r="F27" s="112">
        <f>F26+E27</f>
        <v/>
      </c>
      <c r="G27" s="112">
        <f>IF($D$18&gt;0,IF($A$19&lt;=F27,IF(F27-E27&lt;=$B$19,1,0),0),IF($B$19&gt;=F27-E27,1,IF(F27&gt;=$A$19,1,0)))</f>
        <v/>
      </c>
      <c r="H27" s="113">
        <f>F27-$A$19+1</f>
        <v/>
      </c>
      <c r="I27" s="114">
        <f>(F27-$B$19)</f>
        <v/>
      </c>
      <c r="J27" s="133">
        <f>IF($D$18&gt;0,IF(G27&gt;0,IF(H27&gt;0,IF(H27&lt;E27,(E27-H27)/E27,IF(I27&lt;0,1,0)),0),0),0)</f>
        <v/>
      </c>
      <c r="K27" s="134">
        <f>IF($D$18&gt;0,IF(G27&gt;0,IF(I27&gt;=0,IF(I27&gt;E27,1,(E27-I27)/E27),0),0),0)</f>
        <v/>
      </c>
      <c r="L27" s="135">
        <f>IF($D$18&lt;0,IF(G27&gt;0,IF(H27&gt;0,IF(H27&lt;E27,H27/E27,1),0),0),0)</f>
        <v/>
      </c>
      <c r="M27" s="136">
        <f>IF($D$18&lt;0,IF(G27&gt;0,IF(I27&lt;0,1,IF(I27&lt;E27,(E27-I27)/E27,0)),0),0)</f>
        <v/>
      </c>
      <c r="N27" s="127">
        <f>SUM(J27:M27)</f>
        <v/>
      </c>
    </row>
    <row r="28">
      <c r="A28" s="41" t="n"/>
      <c r="B28" s="165" t="n"/>
      <c r="C28" s="111" t="inlineStr">
        <is>
          <t>October</t>
        </is>
      </c>
      <c r="D28" s="126" t="n">
        <v>10</v>
      </c>
      <c r="E28" s="111" t="n">
        <v>31</v>
      </c>
      <c r="F28" s="112">
        <f>F27+E28</f>
        <v/>
      </c>
      <c r="G28" s="112">
        <f>IF($D$18&gt;0,IF($A$19&lt;=F28,IF(F28-E28&lt;=$B$19,1,0),0),IF($B$19&gt;=F28-E28,1,IF(F28&gt;=$A$19,1,0)))</f>
        <v/>
      </c>
      <c r="H28" s="113">
        <f>F28-$A$19+1</f>
        <v/>
      </c>
      <c r="I28" s="114">
        <f>(F28-$B$19)</f>
        <v/>
      </c>
      <c r="J28" s="133">
        <f>IF($D$18&gt;0,IF(G28&gt;0,IF(H28&gt;0,IF(H28&lt;E28,(E28-H28)/E28,IF(I28&lt;0,1,0)),0),0),0)</f>
        <v/>
      </c>
      <c r="K28" s="134">
        <f>IF($D$18&gt;0,IF(G28&gt;0,IF(I28&gt;=0,IF(I28&gt;E28,1,(E28-I28)/E28),0),0),0)</f>
        <v/>
      </c>
      <c r="L28" s="135">
        <f>IF($D$18&lt;0,IF(G28&gt;0,IF(H28&gt;0,IF(H28&lt;E28,H28/E28,1),0),0),0)</f>
        <v/>
      </c>
      <c r="M28" s="136">
        <f>IF($D$18&lt;0,IF(G28&gt;0,IF(I28&lt;0,1,IF(I28&lt;E28,(E28-I28)/E28,0)),0),0)</f>
        <v/>
      </c>
      <c r="N28" s="127">
        <f>SUM(J28:M28)</f>
        <v/>
      </c>
    </row>
    <row r="29">
      <c r="A29" s="41" t="n"/>
      <c r="B29" s="165" t="n"/>
      <c r="C29" s="111" t="inlineStr">
        <is>
          <t>November</t>
        </is>
      </c>
      <c r="D29" s="126" t="n">
        <v>11</v>
      </c>
      <c r="E29" s="111" t="n">
        <v>30</v>
      </c>
      <c r="F29" s="112">
        <f>F28+E29</f>
        <v/>
      </c>
      <c r="G29" s="112">
        <f>IF($D$18&gt;0,IF($A$19&lt;=F29,IF(F29-E29&lt;=$B$19,1,0),0),IF($B$19&gt;=F29-E29,1,IF(F29&gt;=$A$19,1,0)))</f>
        <v/>
      </c>
      <c r="H29" s="113">
        <f>F29-$A$19+1</f>
        <v/>
      </c>
      <c r="I29" s="114">
        <f>(F29-$B$19)</f>
        <v/>
      </c>
      <c r="J29" s="133">
        <f>IF($D$18&gt;0,IF(G29&gt;0,IF(H29&gt;0,IF(H29&lt;E29,(E29-H29)/E29,IF(I29&lt;0,1,0)),0),0),0)</f>
        <v/>
      </c>
      <c r="K29" s="134">
        <f>IF($D$18&gt;0,IF(G29&gt;0,IF(I29&gt;=0,IF(I29&gt;E29,1,(E29-I29)/E29),0),0),0)</f>
        <v/>
      </c>
      <c r="L29" s="135">
        <f>IF($D$18&lt;0,IF(G29&gt;0,IF(H29&gt;0,IF(H29&lt;E29,H29/E29,1),0),0),0)</f>
        <v/>
      </c>
      <c r="M29" s="136">
        <f>IF($D$18&lt;0,IF(G29&gt;0,IF(I29&lt;0,1,IF(I29&lt;E29,(E29-I29)/E29,0)),0),0)</f>
        <v/>
      </c>
      <c r="N29" s="127">
        <f>SUM(J29:M29)</f>
        <v/>
      </c>
    </row>
    <row r="30">
      <c r="A30" s="59" t="n"/>
      <c r="B30" s="143" t="n"/>
      <c r="C30" s="115" t="inlineStr">
        <is>
          <t>December</t>
        </is>
      </c>
      <c r="D30" s="118" t="n">
        <v>12</v>
      </c>
      <c r="E30" s="115" t="n">
        <v>31</v>
      </c>
      <c r="F30" s="116">
        <f>F29+E30</f>
        <v/>
      </c>
      <c r="G30" s="116">
        <f>IF($D$18&gt;0,IF($A$19&lt;=F30,IF(F30-E30&lt;=$B$19,1,0),0),IF($B$19&gt;=F30-E30,1,IF(F30&gt;=$A$19,1,0)))</f>
        <v/>
      </c>
      <c r="H30" s="117">
        <f>F30-$A$19+1</f>
        <v/>
      </c>
      <c r="I30" s="118">
        <f>(F30-$B$19)</f>
        <v/>
      </c>
      <c r="J30" s="137">
        <f>IF($D$18&gt;0,IF(G30&gt;0,IF(H30&gt;0,IF(H30&lt;E30,(E30-H30)/E30,IF(I30&lt;0,1,0)),0),0),0)</f>
        <v/>
      </c>
      <c r="K30" s="138">
        <f>IF($D$18&gt;0,IF(G30&gt;0,IF(I30&gt;=0,IF(I30&gt;E30,1,(E30-I30)/E30),0),0),0)</f>
        <v/>
      </c>
      <c r="L30" s="139">
        <f>IF($D$18&lt;0,IF(G30&gt;0,IF(H30&gt;0,IF(H30&lt;E30,H30/E30,1),0),0),0)</f>
        <v/>
      </c>
      <c r="M30" s="140">
        <f>IF($D$18&lt;0,IF(G30&gt;0,IF(I30&lt;0,1,IF(I30&lt;E30,(E30-I30)/E30,0)),0),0)</f>
        <v/>
      </c>
      <c r="N30" s="128">
        <f>SUM(J30:M30)</f>
        <v/>
      </c>
    </row>
  </sheetData>
  <mergeCells count="5">
    <mergeCell ref="L2:M2"/>
    <mergeCell ref="L17:M17"/>
    <mergeCell ref="J2:K2"/>
    <mergeCell ref="J17:K17"/>
    <mergeCell ref="A1:N1"/>
  </mergeCells>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PFairey</dc:creator>
  <dcterms:created xmlns:dcterms="http://purl.org/dc/terms/" xmlns:xsi="http://www.w3.org/2001/XMLSchema-instance" xsi:type="dcterms:W3CDTF">2008-06-19T14:08:58Z</dcterms:created>
  <dcterms:modified xmlns:dcterms="http://purl.org/dc/terms/" xmlns:xsi="http://www.w3.org/2001/XMLSchema-instance" xsi:type="dcterms:W3CDTF">2026-10-27T16:38:16Z</dcterms:modified>
  <cp:lastModifiedBy>joel neymark</cp:lastModifiedBy>
  <cp:lastPrinted>2009-03-10T12:44:50Z</cp:lastPrinted>
</cp:coreProperties>
</file>